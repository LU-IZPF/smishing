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loext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PT o1 scores" sheetId="1" state="visible" r:id="rId3"/>
    <sheet name="GPT o1 weights" sheetId="2" state="visible" r:id="rId4"/>
    <sheet name="DeepSeek V3 scores" sheetId="3" state="visible" r:id="rId5"/>
    <sheet name="DeepSeek V3 weights" sheetId="4" state="visible" r:id="rId6"/>
    <sheet name="Sonnet 3.7 scores" sheetId="5" state="visible" r:id="rId7"/>
    <sheet name="Sonnet 3.7 weights" sheetId="6" state="visible" r:id="rId8"/>
  </sheets>
  <calcPr iterateCount="100" refMode="A1" iterate="false" iterateDelta="0.001"/>
  <extLst>
    <ext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<sst xmlns="http://schemas.openxmlformats.org/spreadsheetml/2006/main" count="390" uniqueCount="58">
  <si>
    <t xml:space="preserve">Phishing</t>
  </si>
  <si>
    <t xml:space="preserve">File name</t>
  </si>
  <si>
    <r>
      <rPr>
        <b val="true"/>
        <sz val="10"/>
        <rFont val="Arial"/>
        <family val="2"/>
        <charset val="1"/>
      </rPr>
      <t xml:space="preserve">1</t>
    </r>
    <r>
      <rPr>
        <b val="true"/>
        <vertAlign val="superscript"/>
        <sz val="10"/>
        <rFont val="Arial"/>
        <family val="2"/>
        <charset val="1"/>
      </rPr>
      <t xml:space="preserve">st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</si>
  <si>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2</t>
    </r>
    <r>
      <rPr>
        <b val="true"/>
        <vertAlign val="superscript"/>
        <sz val="10"/>
        <rFont val="Arial"/>
        <family val="2"/>
        <charset val="1"/>
      </rPr>
      <t xml:space="preserve">nd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</si>
  <si>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3</t>
    </r>
    <r>
      <rPr>
        <b val="true"/>
        <vertAlign val="superscript"/>
        <sz val="10"/>
        <rFont val="Arial"/>
        <family val="2"/>
        <charset val="1"/>
      </rPr>
      <t xml:space="preserve">rd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</si>
  <si>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4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</si>
  <si>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5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</si>
  <si>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6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</si>
  <si>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7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</si>
  <si>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8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</si>
  <si>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9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</si>
  <si>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r>
      <rPr>
        <b val="true"/>
        <sz val="10"/>
        <rFont val="Arial"/>
        <family val="2"/>
        <charset val="1"/>
      </rPr>
      <t xml:space="preserve">10</t>
    </r>
    <r>
      <rPr>
        <b val="true"/>
        <vertAlign val="superscript"/>
        <sz val="10"/>
        <rFont val="Arial"/>
        <family val="2"/>
        <charset val="1"/>
      </rPr>
      <t xml:space="preserve">th</t>
    </r>
    <r>
      <rPr>
        <b val="true"/>
        <sz val="10"/>
        <rFont val="Arial"/>
        <family val="2"/>
        <charset val="1"/>
      </rPr>
      <t xml:space="preserve"> try</t>
    </r>
  </si>
  <si>
    <t xml:space="preserve">Mean</t>
  </si>
  <si>
    <t xml:space="preserve">Std</t>
  </si>
  <si>
    <t xml:space="preserve">CV</t>
  </si>
  <si>
    <t xml:space="preserve">AVG CV</t>
  </si>
  <si>
    <t xml:space="preserve">MAX CV</t>
  </si>
  <si>
    <t xml:space="preserve">Std CV</t>
  </si>
  <si>
    <t xml:space="preserve">fe1e692d-b24c-4107-be00-d7b963348f1d.png</t>
  </si>
  <si>
    <t xml:space="preserve">fbbdc7af-93c2-4e5e-bcfa-bf0e5681d94e.jpg</t>
  </si>
  <si>
    <t xml:space="preserve">fb6d66b6-4c48-4d91-ab44-2d12fe83cf0c.jpg</t>
  </si>
  <si>
    <t xml:space="preserve">e9a301ee-33b8-4f36-9a63-e44e245c0fce.jpg</t>
  </si>
  <si>
    <t xml:space="preserve">dd9da320-e23b-4fe2-ad5d-e6c926642091.jpg</t>
  </si>
  <si>
    <t xml:space="preserve">fb4ac244-d048-41f8-affd-97a99697a7ba.jpg</t>
  </si>
  <si>
    <t xml:space="preserve">fa3c6359-f04b-4b04-9f2b-da3d724b7e87.jpg</t>
  </si>
  <si>
    <t xml:space="preserve">ed5de576-9267-4c19-a709-8495cd06eb11.jpg</t>
  </si>
  <si>
    <t xml:space="preserve">ae699df2-a95c-4d1f-a2cc-664b9a33ed60.jpg</t>
  </si>
  <si>
    <t xml:space="preserve">ae310d96-37d8-4f7d-9ea1-a3172a2d026a.jpg</t>
  </si>
  <si>
    <t xml:space="preserve">fde206df-9a63-47d0-aef4-a76acc85fae3.jpg</t>
  </si>
  <si>
    <t xml:space="preserve">e9828fdd-ae36-4ef7-81ed-fbc6c11ffdc8.jpg</t>
  </si>
  <si>
    <t xml:space="preserve">e665d920-2a9c-484b-9f59-a6797d3a6902.jpg</t>
  </si>
  <si>
    <t xml:space="preserve">e7aef498-7ef9-409d-a805-4f102551d1de.jpg</t>
  </si>
  <si>
    <t xml:space="preserve">df996d3c-ece7-4fb7-bfe8-23d80ffbe428.jpeg</t>
  </si>
  <si>
    <t xml:space="preserve">f58935ea-d9c3-4744-af8d-0abb52692017.png</t>
  </si>
  <si>
    <t xml:space="preserve">eba6d5d3-f498-42e9-b7a6-1594b18c5a4c.jpg</t>
  </si>
  <si>
    <t xml:space="preserve">ea90f752-85a8-4a87-8c0c-05134c61f1f0.jpg</t>
  </si>
  <si>
    <t xml:space="preserve">e5a5612a-0a22-416d-b64f-58bc7fad6f09.jpg</t>
  </si>
  <si>
    <t xml:space="preserve">d94e5071-8465-4af5-9443-d7285327fe36.jpg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</si>
  <si>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</si>
  <si>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</si>
  <si>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</si>
  <si>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</si>
  <si>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</si>
  <si>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W1 mean</t>
  </si>
  <si>
    <t xml:space="preserve">W2 mean</t>
  </si>
  <si>
    <t xml:space="preserve">W3 mean</t>
  </si>
  <si>
    <t xml:space="preserve">W4 mean</t>
  </si>
  <si>
    <t xml:space="preserve">W5 mean</t>
  </si>
  <si>
    <t xml:space="preserve">W1 std</t>
  </si>
  <si>
    <t xml:space="preserve">W2 std</t>
  </si>
  <si>
    <t xml:space="preserve">W3 std</t>
  </si>
  <si>
    <t xml:space="preserve">W4 std</t>
  </si>
  <si>
    <t xml:space="preserve">W5 std</t>
  </si>
  <si>
    <t xml:space="preserve">Search Engine Indexing Status</t>
  </si>
  <si>
    <t xml:space="preserve">Domain Whitelist Verification</t>
  </si>
  <si>
    <t xml:space="preserve">URL Shortener Detection</t>
  </si>
  <si>
    <t xml:space="preserve">Known Phishing Database Check</t>
  </si>
  <si>
    <t xml:space="preserve">Semantic Similarity Scores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</si>
</sst>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7"/>
      <name val="Liberation Sans;Arial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40.2"/>
    <col collapsed="false" customWidth="true" hidden="false" outlineLevel="0" max="13" min="13" style="1" width="40.76"/>
    <col collapsed="false" customWidth="true" hidden="false" outlineLevel="0" max="15" min="15" style="1" width="20.27"/>
    <col collapsed="false" customWidth="true" hidden="false" outlineLevel="0" max="16" min="16" style="1" width="23.65"/>
    <col collapsed="false" customWidth="true" hidden="false" outlineLevel="0" max="18" min="18" style="1" width="21.46"/>
    <col collapsed="false" customWidth="true" hidden="false" outlineLevel="0" max="19" min="19" style="1" width="21.06"/>
    <col collapsed="false" customWidth="true" hidden="false" outlineLevel="0" max="20" min="20" style="1" width="23.0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3" t="s">
        <v>12</v>
      </c>
      <c r="O1" s="3" t="s">
        <v>13</v>
      </c>
      <c r="P1" s="3" t="s">
        <v>14</v>
      </c>
      <c r="R1" s="3" t="s">
        <v>15</v>
      </c>
      <c r="S1" s="3" t="s">
        <v>16</v>
      </c>
      <c r="T1" s="3" t="s">
        <v>17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74</v>
      </c>
      <c r="D2" s="5" t="n">
        <v>82</v>
      </c>
      <c r="E2" s="5" t="n">
        <v>73</v>
      </c>
      <c r="F2" s="5" t="n">
        <v>69</v>
      </c>
      <c r="G2" s="5" t="n">
        <v>73</v>
      </c>
      <c r="H2" s="5" t="n">
        <v>61</v>
      </c>
      <c r="I2" s="5" t="n">
        <v>77</v>
      </c>
      <c r="J2" s="5" t="n">
        <v>87</v>
      </c>
      <c r="K2" s="5" t="n">
        <v>81</v>
      </c>
      <c r="L2" s="5" t="n">
        <v>75</v>
      </c>
      <c r="N2" s="5" t="n">
        <f aca="false">AVERAGE(C2:L2)</f>
        <v>75.2</v>
      </c>
      <c r="O2" s="5" t="n">
        <f aca="false">ROUND(_xlfn.STDEV.P(C2:L2),4)</f>
        <v>6.8819</v>
      </c>
      <c r="P2" s="5" t="n">
        <f aca="false">ROUND(IF(N2=0, 0, O2/N2),4)</f>
        <v>0.0915</v>
      </c>
      <c r="R2" s="5" t="n">
        <f aca="false">AVERAGE(P2:P21)</f>
        <v>0.18017</v>
      </c>
      <c r="S2" s="5" t="n">
        <f aca="false">MAX(P3:P21)</f>
        <v>0.4449</v>
      </c>
      <c r="T2" s="5" t="n">
        <f aca="false">_xlfn.STDEV.P(P2:P21)</f>
        <v>0.120214487895594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87</v>
      </c>
      <c r="D3" s="5" t="n">
        <v>89</v>
      </c>
      <c r="E3" s="5" t="n">
        <v>80</v>
      </c>
      <c r="F3" s="5" t="n">
        <v>84</v>
      </c>
      <c r="G3" s="5" t="n">
        <v>86</v>
      </c>
      <c r="H3" s="5" t="n">
        <v>87</v>
      </c>
      <c r="I3" s="5" t="n">
        <v>90</v>
      </c>
      <c r="J3" s="5" t="n">
        <v>85</v>
      </c>
      <c r="K3" s="5" t="n">
        <v>88</v>
      </c>
      <c r="L3" s="5" t="n">
        <v>78</v>
      </c>
      <c r="N3" s="5" t="n">
        <f aca="false">AVERAGE(C3:L3)</f>
        <v>85.4</v>
      </c>
      <c r="O3" s="5" t="n">
        <f aca="false">ROUND(_xlfn.STDEV.P(C3:L3),4)</f>
        <v>3.6387</v>
      </c>
      <c r="P3" s="5" t="n">
        <f aca="false">ROUND(IF(N3=0, 0, O3/N3),4)</f>
        <v>0.0426</v>
      </c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56</v>
      </c>
      <c r="D4" s="5" t="n">
        <v>63</v>
      </c>
      <c r="E4" s="5" t="n">
        <v>49</v>
      </c>
      <c r="F4" s="5" t="n">
        <v>62</v>
      </c>
      <c r="G4" s="5" t="n">
        <v>58</v>
      </c>
      <c r="H4" s="5" t="n">
        <v>63</v>
      </c>
      <c r="I4" s="5" t="n">
        <v>67</v>
      </c>
      <c r="J4" s="5" t="n">
        <v>65</v>
      </c>
      <c r="K4" s="5" t="n">
        <v>67</v>
      </c>
      <c r="L4" s="5" t="n">
        <v>63</v>
      </c>
      <c r="N4" s="5" t="n">
        <f aca="false">AVERAGE(C4:L4)</f>
        <v>61.3</v>
      </c>
      <c r="O4" s="5" t="n">
        <f aca="false">ROUND(_xlfn.STDEV.P(C4:L4),4)</f>
        <v>5.2735</v>
      </c>
      <c r="P4" s="5" t="n">
        <f aca="false">ROUND(IF(N4=0, 0, O4/N4),4)</f>
        <v>0.086</v>
      </c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76</v>
      </c>
      <c r="D5" s="5" t="n">
        <v>82</v>
      </c>
      <c r="E5" s="5" t="n">
        <v>72</v>
      </c>
      <c r="F5" s="5" t="n">
        <v>85</v>
      </c>
      <c r="G5" s="5" t="n">
        <v>77</v>
      </c>
      <c r="H5" s="5" t="n">
        <v>68</v>
      </c>
      <c r="I5" s="5" t="n">
        <v>78</v>
      </c>
      <c r="J5" s="5" t="n">
        <v>73</v>
      </c>
      <c r="K5" s="5" t="n">
        <v>71</v>
      </c>
      <c r="L5" s="5" t="n">
        <v>88</v>
      </c>
      <c r="N5" s="5" t="n">
        <f aca="false">AVERAGE(C5:L5)</f>
        <v>77</v>
      </c>
      <c r="O5" s="5" t="n">
        <f aca="false">ROUND(_xlfn.STDEV.P(C5:L5),4)</f>
        <v>6.0828</v>
      </c>
      <c r="P5" s="5" t="n">
        <f aca="false">ROUND(IF(N5=0, 0, O5/N5),4)</f>
        <v>0.079</v>
      </c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64</v>
      </c>
      <c r="D6" s="5" t="n">
        <v>64</v>
      </c>
      <c r="E6" s="5" t="n">
        <v>75</v>
      </c>
      <c r="F6" s="5" t="n">
        <v>60</v>
      </c>
      <c r="G6" s="5" t="n">
        <v>75</v>
      </c>
      <c r="H6" s="5" t="n">
        <v>65</v>
      </c>
      <c r="I6" s="5" t="n">
        <v>62</v>
      </c>
      <c r="J6" s="5" t="n">
        <v>70</v>
      </c>
      <c r="K6" s="5" t="n">
        <v>65</v>
      </c>
      <c r="L6" s="5" t="n">
        <v>60</v>
      </c>
      <c r="N6" s="5" t="n">
        <f aca="false">AVERAGE(C6:L6)</f>
        <v>66</v>
      </c>
      <c r="O6" s="5" t="n">
        <f aca="false">ROUND(_xlfn.STDEV.P(C6:L6),4)</f>
        <v>5.2536</v>
      </c>
      <c r="P6" s="5" t="n">
        <f aca="false">ROUND(IF(N6=0, 0, O6/N6),4)</f>
        <v>0.0796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83</v>
      </c>
      <c r="D7" s="5" t="n">
        <v>82</v>
      </c>
      <c r="E7" s="5" t="n">
        <v>82</v>
      </c>
      <c r="F7" s="5" t="n">
        <v>86</v>
      </c>
      <c r="G7" s="5" t="n">
        <v>76</v>
      </c>
      <c r="H7" s="5" t="n">
        <v>74</v>
      </c>
      <c r="I7" s="5" t="n">
        <v>82</v>
      </c>
      <c r="J7" s="5" t="n">
        <v>84</v>
      </c>
      <c r="K7" s="5" t="n">
        <v>82</v>
      </c>
      <c r="L7" s="5" t="n">
        <v>89</v>
      </c>
      <c r="N7" s="5" t="n">
        <f aca="false">AVERAGE(C7:L7)</f>
        <v>82</v>
      </c>
      <c r="O7" s="5" t="n">
        <f aca="false">ROUND(_xlfn.STDEV.P(C7:L7),4)</f>
        <v>4.1231</v>
      </c>
      <c r="P7" s="5" t="n">
        <f aca="false">ROUND(IF(N7=0, 0, O7/N7),4)</f>
        <v>0.0503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79</v>
      </c>
      <c r="D8" s="5" t="n">
        <v>75</v>
      </c>
      <c r="E8" s="5" t="n">
        <v>73</v>
      </c>
      <c r="F8" s="5" t="n">
        <v>72</v>
      </c>
      <c r="G8" s="5" t="n">
        <v>84</v>
      </c>
      <c r="H8" s="5" t="n">
        <v>80</v>
      </c>
      <c r="I8" s="5" t="n">
        <v>90</v>
      </c>
      <c r="J8" s="5" t="n">
        <v>71</v>
      </c>
      <c r="K8" s="5" t="n">
        <v>85</v>
      </c>
      <c r="L8" s="5" t="n">
        <v>71</v>
      </c>
      <c r="N8" s="5" t="n">
        <f aca="false">AVERAGE(C8:L8)</f>
        <v>78</v>
      </c>
      <c r="O8" s="5" t="n">
        <f aca="false">ROUND(_xlfn.STDEV.P(C8:L8),4)</f>
        <v>6.3403</v>
      </c>
      <c r="P8" s="5" t="n">
        <f aca="false">ROUND(IF(N8=0, 0, O8/N8),4)</f>
        <v>0.0813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70</v>
      </c>
      <c r="D9" s="5" t="n">
        <v>70</v>
      </c>
      <c r="E9" s="5" t="n">
        <v>75</v>
      </c>
      <c r="F9" s="5" t="n">
        <v>85</v>
      </c>
      <c r="G9" s="5" t="n">
        <v>70</v>
      </c>
      <c r="H9" s="5" t="n">
        <v>55</v>
      </c>
      <c r="I9" s="5" t="n">
        <v>55</v>
      </c>
      <c r="J9" s="5" t="n">
        <v>75</v>
      </c>
      <c r="K9" s="5" t="n">
        <v>65</v>
      </c>
      <c r="L9" s="5" t="n">
        <v>85</v>
      </c>
      <c r="N9" s="5" t="n">
        <f aca="false">AVERAGE(C9:L9)</f>
        <v>70.5</v>
      </c>
      <c r="O9" s="5" t="n">
        <f aca="false">ROUND(_xlfn.STDEV.P(C9:L9),4)</f>
        <v>9.8615</v>
      </c>
      <c r="P9" s="5" t="n">
        <f aca="false">ROUND(IF(N9=0, 0, O9/N9),4)</f>
        <v>0.1399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50</v>
      </c>
      <c r="D10" s="5" t="n">
        <v>55</v>
      </c>
      <c r="E10" s="5" t="n">
        <v>45</v>
      </c>
      <c r="F10" s="5" t="n">
        <v>55</v>
      </c>
      <c r="G10" s="5" t="n">
        <v>60</v>
      </c>
      <c r="H10" s="5" t="n">
        <v>55</v>
      </c>
      <c r="I10" s="5" t="n">
        <v>75</v>
      </c>
      <c r="J10" s="5" t="n">
        <v>55</v>
      </c>
      <c r="K10" s="5" t="n">
        <v>47</v>
      </c>
      <c r="L10" s="5" t="n">
        <v>55</v>
      </c>
      <c r="N10" s="5" t="n">
        <f aca="false">AVERAGE(C10:L10)</f>
        <v>55.2</v>
      </c>
      <c r="O10" s="5" t="n">
        <f aca="false">ROUND(_xlfn.STDEV.P(C10:L10),4)</f>
        <v>7.8333</v>
      </c>
      <c r="P10" s="5" t="n">
        <f aca="false">ROUND(IF(N10=0, 0, O10/N10),4)</f>
        <v>0.1419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50</v>
      </c>
      <c r="D11" s="5" t="n">
        <v>65</v>
      </c>
      <c r="E11" s="5" t="n">
        <v>55</v>
      </c>
      <c r="F11" s="5" t="n">
        <v>55</v>
      </c>
      <c r="G11" s="5" t="n">
        <v>60</v>
      </c>
      <c r="H11" s="5" t="n">
        <v>45</v>
      </c>
      <c r="I11" s="5" t="n">
        <v>45</v>
      </c>
      <c r="J11" s="5" t="n">
        <v>45</v>
      </c>
      <c r="K11" s="5" t="n">
        <v>35</v>
      </c>
      <c r="L11" s="5" t="n">
        <v>65</v>
      </c>
      <c r="N11" s="5" t="n">
        <f aca="false">AVERAGE(C11:L11)</f>
        <v>52</v>
      </c>
      <c r="O11" s="5" t="n">
        <f aca="false">ROUND(_xlfn.STDEV.P(C11:L11),4)</f>
        <v>9.2736</v>
      </c>
      <c r="P11" s="5" t="n">
        <f aca="false">ROUND(IF(N11=0, 0, O11/N11),4)</f>
        <v>0.1783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15</v>
      </c>
      <c r="D12" s="5" t="n">
        <v>10</v>
      </c>
      <c r="E12" s="5" t="n">
        <v>8</v>
      </c>
      <c r="F12" s="5" t="n">
        <v>5</v>
      </c>
      <c r="G12" s="5" t="n">
        <v>15</v>
      </c>
      <c r="H12" s="5" t="n">
        <v>5</v>
      </c>
      <c r="I12" s="5" t="n">
        <v>10</v>
      </c>
      <c r="J12" s="5" t="n">
        <v>10</v>
      </c>
      <c r="K12" s="5" t="n">
        <v>15</v>
      </c>
      <c r="L12" s="5" t="n">
        <v>5</v>
      </c>
      <c r="N12" s="5" t="n">
        <f aca="false">AVERAGE(C12:L12)</f>
        <v>9.8</v>
      </c>
      <c r="O12" s="5" t="n">
        <f aca="false">ROUND(_xlfn.STDEV.P(C12:L12),4)</f>
        <v>3.9192</v>
      </c>
      <c r="P12" s="5" t="n">
        <f aca="false">ROUND(IF(N12=0, 0, O12/N12),4)</f>
        <v>0.3999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5</v>
      </c>
      <c r="D13" s="5" t="n">
        <v>5</v>
      </c>
      <c r="E13" s="5" t="n">
        <v>2</v>
      </c>
      <c r="F13" s="5" t="n">
        <v>5</v>
      </c>
      <c r="G13" s="5" t="n">
        <v>0</v>
      </c>
      <c r="H13" s="5" t="n">
        <v>5</v>
      </c>
      <c r="I13" s="5" t="n">
        <v>5</v>
      </c>
      <c r="J13" s="5" t="n">
        <v>7</v>
      </c>
      <c r="K13" s="5" t="n">
        <v>5</v>
      </c>
      <c r="L13" s="5" t="n">
        <v>5</v>
      </c>
      <c r="N13" s="5" t="n">
        <f aca="false">AVERAGE(C13:L13)</f>
        <v>4.4</v>
      </c>
      <c r="O13" s="5" t="n">
        <f aca="false">ROUND(_xlfn.STDEV.P(C13:L13),4)</f>
        <v>1.8547</v>
      </c>
      <c r="P13" s="5" t="n">
        <f aca="false">ROUND(IF(N13=0, 0, O13/N13),4)</f>
        <v>0.4215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22</v>
      </c>
      <c r="D14" s="5" t="n">
        <v>40</v>
      </c>
      <c r="E14" s="5" t="n">
        <v>35</v>
      </c>
      <c r="F14" s="5" t="n">
        <v>40</v>
      </c>
      <c r="G14" s="5" t="n">
        <v>33</v>
      </c>
      <c r="H14" s="5" t="n">
        <v>25</v>
      </c>
      <c r="I14" s="5" t="n">
        <v>22</v>
      </c>
      <c r="J14" s="5" t="n">
        <v>35</v>
      </c>
      <c r="K14" s="5" t="n">
        <v>40</v>
      </c>
      <c r="L14" s="5" t="n">
        <v>30</v>
      </c>
      <c r="N14" s="5" t="n">
        <f aca="false">AVERAGE(C14:L14)</f>
        <v>32.2</v>
      </c>
      <c r="O14" s="5" t="n">
        <f aca="false">ROUND(_xlfn.STDEV.P(C14:L14),4)</f>
        <v>6.8088</v>
      </c>
      <c r="P14" s="5" t="n">
        <f aca="false">ROUND(IF(N14=0, 0, O14/N14),4)</f>
        <v>0.2115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16</v>
      </c>
      <c r="D15" s="5" t="n">
        <v>10</v>
      </c>
      <c r="E15" s="5" t="n">
        <v>10</v>
      </c>
      <c r="F15" s="5" t="n">
        <v>8</v>
      </c>
      <c r="G15" s="5" t="n">
        <v>10</v>
      </c>
      <c r="H15" s="5" t="n">
        <v>5</v>
      </c>
      <c r="I15" s="5" t="n">
        <v>11</v>
      </c>
      <c r="J15" s="5" t="n">
        <v>10</v>
      </c>
      <c r="K15" s="5" t="n">
        <v>15</v>
      </c>
      <c r="L15" s="5" t="n">
        <v>15</v>
      </c>
      <c r="N15" s="5" t="n">
        <f aca="false">AVERAGE(C15:L15)</f>
        <v>11</v>
      </c>
      <c r="O15" s="5" t="n">
        <f aca="false">ROUND(_xlfn.STDEV.P(C15:L15),4)</f>
        <v>3.2558</v>
      </c>
      <c r="P15" s="5" t="n">
        <f aca="false">ROUND(IF(N15=0, 0, O15/N15),4)</f>
        <v>0.296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65</v>
      </c>
      <c r="D16" s="5" t="n">
        <v>55</v>
      </c>
      <c r="E16" s="5" t="n">
        <v>60</v>
      </c>
      <c r="F16" s="5" t="n">
        <v>65</v>
      </c>
      <c r="G16" s="5" t="n">
        <v>65</v>
      </c>
      <c r="H16" s="5" t="n">
        <v>62</v>
      </c>
      <c r="I16" s="5" t="n">
        <v>45</v>
      </c>
      <c r="J16" s="5" t="n">
        <v>70</v>
      </c>
      <c r="K16" s="5" t="n">
        <v>55</v>
      </c>
      <c r="L16" s="5" t="n">
        <v>65</v>
      </c>
      <c r="N16" s="5" t="n">
        <f aca="false">AVERAGE(C16:L16)</f>
        <v>60.7</v>
      </c>
      <c r="O16" s="5" t="n">
        <f aca="false">ROUND(_xlfn.STDEV.P(C16:L16),4)</f>
        <v>6.8855</v>
      </c>
      <c r="P16" s="5" t="n">
        <f aca="false">ROUND(IF(N16=0, 0, O16/N16),4)</f>
        <v>0.1134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24</v>
      </c>
      <c r="D17" s="5" t="n">
        <v>35</v>
      </c>
      <c r="E17" s="5" t="n">
        <v>30</v>
      </c>
      <c r="F17" s="5" t="n">
        <v>30</v>
      </c>
      <c r="G17" s="5" t="n">
        <v>20</v>
      </c>
      <c r="H17" s="5" t="n">
        <v>40</v>
      </c>
      <c r="I17" s="5" t="n">
        <v>75</v>
      </c>
      <c r="J17" s="5" t="n">
        <v>25</v>
      </c>
      <c r="K17" s="5" t="n">
        <v>35</v>
      </c>
      <c r="L17" s="5" t="n">
        <v>23</v>
      </c>
      <c r="N17" s="5" t="n">
        <f aca="false">AVERAGE(C17:L17)</f>
        <v>33.7</v>
      </c>
      <c r="O17" s="5" t="n">
        <f aca="false">ROUND(_xlfn.STDEV.P(C17:L17),4)</f>
        <v>14.9937</v>
      </c>
      <c r="P17" s="5" t="n">
        <f aca="false">ROUND(IF(N17=0, 0, O17/N17),4)</f>
        <v>0.4449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30</v>
      </c>
      <c r="D18" s="5" t="n">
        <v>45</v>
      </c>
      <c r="E18" s="5" t="n">
        <v>40</v>
      </c>
      <c r="F18" s="5" t="n">
        <v>30</v>
      </c>
      <c r="G18" s="5" t="n">
        <v>35</v>
      </c>
      <c r="H18" s="5" t="n">
        <v>35</v>
      </c>
      <c r="I18" s="5" t="n">
        <v>35</v>
      </c>
      <c r="J18" s="5" t="n">
        <v>40</v>
      </c>
      <c r="K18" s="5" t="n">
        <v>15</v>
      </c>
      <c r="L18" s="5" t="n">
        <v>40</v>
      </c>
      <c r="N18" s="5" t="n">
        <f aca="false">AVERAGE(C18:L18)</f>
        <v>34.5</v>
      </c>
      <c r="O18" s="5" t="n">
        <f aca="false">ROUND(_xlfn.STDEV.P(C18:L18),4)</f>
        <v>7.8899</v>
      </c>
      <c r="P18" s="5" t="n">
        <f aca="false">ROUND(IF(N18=0, 0, O18/N18),4)</f>
        <v>0.2287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60</v>
      </c>
      <c r="D19" s="5" t="n">
        <v>60</v>
      </c>
      <c r="E19" s="5" t="n">
        <v>46</v>
      </c>
      <c r="F19" s="5" t="n">
        <v>55</v>
      </c>
      <c r="G19" s="5" t="n">
        <v>55</v>
      </c>
      <c r="H19" s="5" t="n">
        <v>65</v>
      </c>
      <c r="I19" s="5" t="n">
        <v>70</v>
      </c>
      <c r="J19" s="5" t="n">
        <v>75</v>
      </c>
      <c r="K19" s="5" t="n">
        <v>65</v>
      </c>
      <c r="L19" s="5" t="n">
        <v>55</v>
      </c>
      <c r="N19" s="5" t="n">
        <f aca="false">AVERAGE(C19:L19)</f>
        <v>60.6</v>
      </c>
      <c r="O19" s="5" t="n">
        <f aca="false">ROUND(_xlfn.STDEV.P(C19:L19),4)</f>
        <v>8.015</v>
      </c>
      <c r="P19" s="5" t="n">
        <f aca="false">ROUND(IF(N19=0, 0, O19/N19),4)</f>
        <v>0.1323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90</v>
      </c>
      <c r="D20" s="5" t="n">
        <v>60</v>
      </c>
      <c r="E20" s="5" t="n">
        <v>55</v>
      </c>
      <c r="F20" s="5" t="n">
        <v>60</v>
      </c>
      <c r="G20" s="5" t="n">
        <v>65</v>
      </c>
      <c r="H20" s="5" t="n">
        <v>65</v>
      </c>
      <c r="I20" s="5" t="n">
        <v>55</v>
      </c>
      <c r="J20" s="5" t="n">
        <v>75</v>
      </c>
      <c r="K20" s="5" t="n">
        <v>70</v>
      </c>
      <c r="L20" s="5" t="n">
        <v>60</v>
      </c>
      <c r="N20" s="5" t="n">
        <f aca="false">AVERAGE(C20:L20)</f>
        <v>65.5</v>
      </c>
      <c r="O20" s="5" t="n">
        <f aca="false">ROUND(_xlfn.STDEV.P(C20:L20),4)</f>
        <v>10.1119</v>
      </c>
      <c r="P20" s="5" t="n">
        <f aca="false">ROUND(IF(N20=0, 0, O20/N20),4)</f>
        <v>0.1544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13</v>
      </c>
      <c r="D21" s="5" t="n">
        <v>15</v>
      </c>
      <c r="E21" s="5" t="n">
        <v>15</v>
      </c>
      <c r="F21" s="5" t="n">
        <v>18</v>
      </c>
      <c r="G21" s="5" t="n">
        <v>13</v>
      </c>
      <c r="H21" s="5" t="n">
        <v>25</v>
      </c>
      <c r="I21" s="5" t="n">
        <v>19</v>
      </c>
      <c r="J21" s="5" t="n">
        <v>12</v>
      </c>
      <c r="K21" s="5" t="n">
        <v>20</v>
      </c>
      <c r="L21" s="5" t="n">
        <v>15</v>
      </c>
      <c r="N21" s="5" t="n">
        <f aca="false">AVERAGE(C21:L21)</f>
        <v>16.5</v>
      </c>
      <c r="O21" s="5" t="n">
        <f aca="false">ROUND(_xlfn.STDEV.P(C21:L21),4)</f>
        <v>3.8013</v>
      </c>
      <c r="P21" s="5" t="n">
        <f aca="false">ROUND(IF(N21=0, 0, O21/N21),4)</f>
        <v>0.2304</v>
      </c>
    </row>
    <row r="23" customFormat="false" ht="12.8" hidden="false" customHeight="false" outlineLevel="0" collapsed="false">
      <c r="O23" s="5" t="n">
        <f aca="false">ROUND(AVERAGE(O2:O21),4)</f>
        <v>6.6049</v>
      </c>
      <c r="P23" s="5" t="n">
        <f aca="false">ROUND(AVERAGE(P2:P21),4)</f>
        <v>0.1802</v>
      </c>
    </row>
    <row r="38" customFormat="false" ht="15" hidden="false" customHeight="false" outlineLevel="0" collapsed="false">
      <c r="N38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U2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2" min="2" style="1" width="45.21"/>
    <col collapsed="false" customWidth="true" hidden="false" outlineLevel="0" max="7" min="3" style="1" width="3.89"/>
    <col collapsed="false" customWidth="true" hidden="false" outlineLevel="0" max="13" min="9" style="1" width="3.89"/>
    <col collapsed="false" customWidth="true" hidden="false" outlineLevel="0" max="19" min="15" style="1" width="3.89"/>
    <col collapsed="false" customWidth="true" hidden="false" outlineLevel="0" max="25" min="21" style="1" width="3.89"/>
    <col collapsed="false" customWidth="true" hidden="false" outlineLevel="0" max="31" min="27" style="1" width="3.89"/>
    <col collapsed="false" customWidth="true" hidden="false" outlineLevel="0" max="37" min="33" style="1" width="3.89"/>
    <col collapsed="false" customWidth="true" hidden="false" outlineLevel="0" max="43" min="39" style="1" width="3.89"/>
    <col collapsed="false" customWidth="true" hidden="false" outlineLevel="0" max="49" min="45" style="1" width="3.89"/>
    <col collapsed="false" customWidth="true" hidden="false" outlineLevel="0" max="55" min="51" style="1" width="3.89"/>
    <col collapsed="false" customWidth="true" hidden="false" outlineLevel="0" max="61" min="57" style="1" width="3.89"/>
    <col collapsed="false" customWidth="true" hidden="false" outlineLevel="0" max="65" min="65" style="1" width="16.89"/>
    <col collapsed="false" customWidth="true" hidden="false" outlineLevel="0" max="69" min="69" style="1" width="20.66"/>
    <col collapsed="false" customWidth="true" hidden="false" outlineLevel="0" max="70" min="70" style="1" width="22.85"/>
    <col collapsed="false" customWidth="true" hidden="false" outlineLevel="0" max="71" min="71" style="1" width="19.07"/>
    <col collapsed="false" customWidth="true" hidden="false" outlineLevel="0" max="72" min="72" style="1" width="20.27"/>
    <col collapsed="false" customWidth="true" hidden="false" outlineLevel="0" max="73" min="73" style="1" width="19.8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/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/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/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/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/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/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/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/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/>
      <c r="BE1" s="3" t="s">
        <v>38</v>
      </c>
      <c r="BF1" s="3" t="s">
        <v>39</v>
      </c>
      <c r="BG1" s="3" t="s">
        <v>40</v>
      </c>
      <c r="BH1" s="3" t="s">
        <v>41</v>
      </c>
      <c r="BI1" s="3" t="s">
        <v>42</v>
      </c>
      <c r="BJ1" s="3"/>
      <c r="BK1" s="3" t="s">
        <v>43</v>
      </c>
      <c r="BL1" s="3" t="s">
        <v>44</v>
      </c>
      <c r="BM1" s="3" t="s">
        <v>45</v>
      </c>
      <c r="BN1" s="3" t="s">
        <v>46</v>
      </c>
      <c r="BO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20</v>
      </c>
      <c r="D2" s="5" t="n">
        <v>20</v>
      </c>
      <c r="E2" s="5" t="n">
        <v>10</v>
      </c>
      <c r="F2" s="5" t="n">
        <v>15</v>
      </c>
      <c r="G2" s="5" t="n">
        <v>35</v>
      </c>
      <c r="H2" s="5"/>
      <c r="I2" s="5" t="n">
        <v>20</v>
      </c>
      <c r="J2" s="5" t="n">
        <v>20</v>
      </c>
      <c r="K2" s="5" t="n">
        <v>15</v>
      </c>
      <c r="L2" s="5" t="n">
        <v>15</v>
      </c>
      <c r="M2" s="5" t="n">
        <v>30</v>
      </c>
      <c r="N2" s="5"/>
      <c r="O2" s="5" t="n">
        <v>20</v>
      </c>
      <c r="P2" s="5" t="n">
        <v>20</v>
      </c>
      <c r="Q2" s="5" t="n">
        <v>10</v>
      </c>
      <c r="R2" s="5" t="n">
        <v>20</v>
      </c>
      <c r="S2" s="5" t="n">
        <v>30</v>
      </c>
      <c r="T2" s="5"/>
      <c r="U2" s="5" t="n">
        <v>20</v>
      </c>
      <c r="V2" s="5" t="n">
        <v>20</v>
      </c>
      <c r="W2" s="5" t="n">
        <v>15</v>
      </c>
      <c r="X2" s="5" t="n">
        <v>15</v>
      </c>
      <c r="Y2" s="5" t="n">
        <v>30</v>
      </c>
      <c r="Z2" s="5"/>
      <c r="AA2" s="5" t="n">
        <v>20</v>
      </c>
      <c r="AB2" s="5" t="n">
        <v>20</v>
      </c>
      <c r="AC2" s="5" t="n">
        <v>10</v>
      </c>
      <c r="AD2" s="5" t="n">
        <v>10</v>
      </c>
      <c r="AE2" s="5" t="n">
        <v>40</v>
      </c>
      <c r="AF2" s="5"/>
      <c r="AG2" s="5" t="n">
        <v>25</v>
      </c>
      <c r="AH2" s="5" t="n">
        <v>20</v>
      </c>
      <c r="AI2" s="5" t="n">
        <v>10</v>
      </c>
      <c r="AJ2" s="5" t="n">
        <v>15</v>
      </c>
      <c r="AK2" s="5" t="n">
        <v>30</v>
      </c>
      <c r="AL2" s="5"/>
      <c r="AM2" s="5" t="n">
        <v>20</v>
      </c>
      <c r="AN2" s="5" t="n">
        <v>20</v>
      </c>
      <c r="AO2" s="5" t="n">
        <v>10</v>
      </c>
      <c r="AP2" s="5" t="n">
        <v>20</v>
      </c>
      <c r="AQ2" s="5" t="n">
        <v>30</v>
      </c>
      <c r="AR2" s="5"/>
      <c r="AS2" s="5" t="n">
        <v>20</v>
      </c>
      <c r="AT2" s="5" t="n">
        <v>20</v>
      </c>
      <c r="AU2" s="5" t="n">
        <v>15</v>
      </c>
      <c r="AV2" s="5" t="n">
        <v>15</v>
      </c>
      <c r="AW2" s="5" t="n">
        <v>30</v>
      </c>
      <c r="AX2" s="5"/>
      <c r="AY2" s="5" t="n">
        <v>15</v>
      </c>
      <c r="AZ2" s="5" t="n">
        <v>20</v>
      </c>
      <c r="BA2" s="5" t="n">
        <v>10</v>
      </c>
      <c r="BB2" s="5" t="n">
        <v>25</v>
      </c>
      <c r="BC2" s="5" t="n">
        <v>30</v>
      </c>
      <c r="BD2" s="5"/>
      <c r="BE2" s="5" t="n">
        <v>25</v>
      </c>
      <c r="BF2" s="5" t="n">
        <v>25</v>
      </c>
      <c r="BG2" s="5" t="n">
        <v>10</v>
      </c>
      <c r="BH2" s="5" t="n">
        <v>10</v>
      </c>
      <c r="BI2" s="5" t="n">
        <v>30</v>
      </c>
      <c r="BK2" s="5" t="n">
        <f aca="false">AVERAGE(C2,I2,O2,U2,AA2,AG2,AM2,AS2,AY2,BE2)</f>
        <v>20.5</v>
      </c>
      <c r="BL2" s="5" t="n">
        <f aca="false">AVERAGE(D2,J2,P2,V2,AB2,AH2,AN2,AT2,AZ2,BF2)</f>
        <v>20.5</v>
      </c>
      <c r="BM2" s="5" t="n">
        <f aca="false">AVERAGE(,E2,K2,Q2,W2,AC2,AI2,AO2,AU2,BA2,BG2)</f>
        <v>10.4545454545455</v>
      </c>
      <c r="BN2" s="5" t="n">
        <f aca="false">AVERAGE(F2,L2,R2,X2,AD2,AJ2,AP2,AV2,BB2,BH2)</f>
        <v>16</v>
      </c>
      <c r="BO2" s="5" t="n">
        <f aca="false">AVERAGE(G2,M2,S2,Y2,AE2,AK2,AQ2,AW2,BC2,BI2)</f>
        <v>31.5</v>
      </c>
      <c r="BQ2" s="5" t="n">
        <f aca="false">_xlfn.STDEV.P(C2,I2,O2,U2,AA2,AG2,AM2,AS2,AY2,BE2)</f>
        <v>2.69258240356725</v>
      </c>
      <c r="BR2" s="5" t="n">
        <f aca="false">_xlfn.STDEV.P(D2,J2,P2,V2,AB2,AH2,AN2,AT2,AZ2,BF2)</f>
        <v>1.5</v>
      </c>
      <c r="BS2" s="5" t="n">
        <f aca="false">_xlfn.STDEV.P(,E2,K2,Q2,W2,AC2,AI2,AO2,AU2,BA2,BG2)</f>
        <v>3.96263540321879</v>
      </c>
      <c r="BT2" s="5" t="n">
        <f aca="false">_xlfn.STDEV.P(F2,L2,R2,X2,AD2,AJ2,AP2,AV2,BB2,BH2)</f>
        <v>4.35889894354067</v>
      </c>
      <c r="BU2" s="5" t="n">
        <f aca="false">_xlfn.STDEV.P(G2,M2,S2,Y2,AE2,AK2,AQ2,AW2,BC2,BI2)</f>
        <v>3.20156211871642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15</v>
      </c>
      <c r="D3" s="5" t="n">
        <v>15</v>
      </c>
      <c r="E3" s="5" t="n">
        <v>25</v>
      </c>
      <c r="F3" s="5" t="n">
        <v>15</v>
      </c>
      <c r="G3" s="5" t="n">
        <v>30</v>
      </c>
      <c r="H3" s="5"/>
      <c r="I3" s="5" t="n">
        <v>10</v>
      </c>
      <c r="J3" s="5" t="n">
        <v>20</v>
      </c>
      <c r="K3" s="5" t="n">
        <v>20</v>
      </c>
      <c r="L3" s="5" t="n">
        <v>10</v>
      </c>
      <c r="M3" s="5" t="n">
        <v>40</v>
      </c>
      <c r="N3" s="5"/>
      <c r="O3" s="5" t="n">
        <v>10</v>
      </c>
      <c r="P3" s="5" t="n">
        <v>15</v>
      </c>
      <c r="Q3" s="5" t="n">
        <v>20</v>
      </c>
      <c r="R3" s="5" t="n">
        <v>15</v>
      </c>
      <c r="S3" s="5" t="n">
        <v>40</v>
      </c>
      <c r="T3" s="5"/>
      <c r="U3" s="5" t="n">
        <v>10</v>
      </c>
      <c r="V3" s="5" t="n">
        <v>20</v>
      </c>
      <c r="W3" s="5" t="n">
        <v>20</v>
      </c>
      <c r="X3" s="5" t="n">
        <v>10</v>
      </c>
      <c r="Y3" s="5" t="n">
        <v>40</v>
      </c>
      <c r="Z3" s="5"/>
      <c r="AA3" s="5" t="n">
        <v>15</v>
      </c>
      <c r="AB3" s="5" t="n">
        <v>20</v>
      </c>
      <c r="AC3" s="5" t="n">
        <v>20</v>
      </c>
      <c r="AD3" s="5" t="n">
        <v>15</v>
      </c>
      <c r="AE3" s="5" t="n">
        <v>30</v>
      </c>
      <c r="AF3" s="5"/>
      <c r="AG3" s="5" t="n">
        <v>10</v>
      </c>
      <c r="AH3" s="5" t="n">
        <v>20</v>
      </c>
      <c r="AI3" s="5" t="n">
        <v>15</v>
      </c>
      <c r="AJ3" s="5" t="n">
        <v>15</v>
      </c>
      <c r="AK3" s="5" t="n">
        <v>40</v>
      </c>
      <c r="AL3" s="5"/>
      <c r="AM3" s="5" t="n">
        <v>10</v>
      </c>
      <c r="AN3" s="5" t="n">
        <v>20</v>
      </c>
      <c r="AO3" s="5" t="n">
        <v>20</v>
      </c>
      <c r="AP3" s="5" t="n">
        <v>10</v>
      </c>
      <c r="AQ3" s="5" t="n">
        <v>40</v>
      </c>
      <c r="AR3" s="5"/>
      <c r="AS3" s="5" t="n">
        <v>10</v>
      </c>
      <c r="AT3" s="5" t="n">
        <v>20</v>
      </c>
      <c r="AU3" s="5" t="n">
        <v>20</v>
      </c>
      <c r="AV3" s="5" t="n">
        <v>10</v>
      </c>
      <c r="AW3" s="5" t="n">
        <v>40</v>
      </c>
      <c r="AX3" s="5"/>
      <c r="AY3" s="5" t="n">
        <v>10</v>
      </c>
      <c r="AZ3" s="5" t="n">
        <v>10</v>
      </c>
      <c r="BA3" s="5" t="n">
        <v>20</v>
      </c>
      <c r="BB3" s="5" t="n">
        <v>20</v>
      </c>
      <c r="BC3" s="5" t="n">
        <v>40</v>
      </c>
      <c r="BD3" s="5"/>
      <c r="BE3" s="5" t="n">
        <v>10</v>
      </c>
      <c r="BF3" s="5" t="n">
        <v>20</v>
      </c>
      <c r="BG3" s="5" t="n">
        <v>20</v>
      </c>
      <c r="BH3" s="5" t="n">
        <v>10</v>
      </c>
      <c r="BI3" s="5" t="n">
        <v>40</v>
      </c>
      <c r="BK3" s="5" t="n">
        <f aca="false">AVERAGE(C3,I3,O3,U3,AA3,AG3,AM3,AS3,AY3,BE3)</f>
        <v>11</v>
      </c>
      <c r="BL3" s="5" t="n">
        <f aca="false">AVERAGE(D3,J3,P3,V3,AB3,AH3,AN3,AT3,AZ3,BF3)</f>
        <v>18</v>
      </c>
      <c r="BM3" s="5" t="n">
        <f aca="false">AVERAGE(,E3,K3,Q3,W3,AC3,AI3,AO3,AU3,BA3,BG3)</f>
        <v>18.1818181818182</v>
      </c>
      <c r="BN3" s="5" t="n">
        <f aca="false">AVERAGE(F3,L3,R3,X3,AD3,AJ3,AP3,AV3,BB3,BH3)</f>
        <v>13</v>
      </c>
      <c r="BO3" s="5" t="n">
        <f aca="false">AVERAGE(G3,M3,S3,Y3,AE3,AK3,AQ3,AW3,BC3,BI3)</f>
        <v>38</v>
      </c>
      <c r="BQ3" s="5" t="n">
        <f aca="false">_xlfn.STDEV.P(C3,I3,O3,U3,AA3,AG3,AM3,AS3,AY3,BE3)</f>
        <v>2</v>
      </c>
      <c r="BR3" s="5" t="n">
        <f aca="false">_xlfn.STDEV.P(D3,J3,P3,V3,AB3,AH3,AN3,AT3,AZ3,BF3)</f>
        <v>3.3166247903554</v>
      </c>
      <c r="BS3" s="5" t="n">
        <f aca="false">_xlfn.STDEV.P(,E3,K3,Q3,W3,AC3,AI3,AO3,AU3,BA3,BG3)</f>
        <v>6.13215343783275</v>
      </c>
      <c r="BT3" s="5" t="n">
        <f aca="false">_xlfn.STDEV.P(F3,L3,R3,X3,AD3,AJ3,AP3,AV3,BB3,BH3)</f>
        <v>3.3166247903554</v>
      </c>
      <c r="BU3" s="5" t="n">
        <f aca="false">_xlfn.STDEV.P(G3,M3,S3,Y3,AE3,AK3,AQ3,AW3,BC3,BI3)</f>
        <v>4</v>
      </c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15</v>
      </c>
      <c r="D4" s="5" t="n">
        <v>20</v>
      </c>
      <c r="E4" s="5" t="n">
        <v>15</v>
      </c>
      <c r="F4" s="5" t="n">
        <v>10</v>
      </c>
      <c r="G4" s="5" t="n">
        <v>40</v>
      </c>
      <c r="H4" s="5"/>
      <c r="I4" s="5" t="n">
        <v>15</v>
      </c>
      <c r="J4" s="5" t="n">
        <v>20</v>
      </c>
      <c r="K4" s="5" t="n">
        <v>15</v>
      </c>
      <c r="L4" s="5" t="n">
        <v>15</v>
      </c>
      <c r="M4" s="5" t="n">
        <v>35</v>
      </c>
      <c r="N4" s="5"/>
      <c r="O4" s="5" t="n">
        <v>15</v>
      </c>
      <c r="P4" s="5" t="n">
        <v>20</v>
      </c>
      <c r="Q4" s="5" t="n">
        <v>10</v>
      </c>
      <c r="R4" s="5" t="n">
        <v>20</v>
      </c>
      <c r="S4" s="5" t="n">
        <v>35</v>
      </c>
      <c r="T4" s="5"/>
      <c r="U4" s="5" t="n">
        <v>15</v>
      </c>
      <c r="V4" s="5" t="n">
        <v>25</v>
      </c>
      <c r="W4" s="5" t="n">
        <v>15</v>
      </c>
      <c r="X4" s="5" t="n">
        <v>20</v>
      </c>
      <c r="Y4" s="5" t="n">
        <v>25</v>
      </c>
      <c r="Z4" s="5"/>
      <c r="AA4" s="5" t="n">
        <v>10</v>
      </c>
      <c r="AB4" s="5" t="n">
        <v>20</v>
      </c>
      <c r="AC4" s="5" t="n">
        <v>10</v>
      </c>
      <c r="AD4" s="5" t="n">
        <v>20</v>
      </c>
      <c r="AE4" s="5" t="n">
        <v>40</v>
      </c>
      <c r="AF4" s="5"/>
      <c r="AG4" s="5" t="n">
        <v>10</v>
      </c>
      <c r="AH4" s="5" t="n">
        <v>25</v>
      </c>
      <c r="AI4" s="5" t="n">
        <v>15</v>
      </c>
      <c r="AJ4" s="5" t="n">
        <v>20</v>
      </c>
      <c r="AK4" s="5" t="n">
        <v>30</v>
      </c>
      <c r="AL4" s="5"/>
      <c r="AM4" s="5" t="n">
        <v>10</v>
      </c>
      <c r="AN4" s="5" t="n">
        <v>20</v>
      </c>
      <c r="AO4" s="5" t="n">
        <v>10</v>
      </c>
      <c r="AP4" s="5" t="n">
        <v>30</v>
      </c>
      <c r="AQ4" s="5" t="n">
        <v>30</v>
      </c>
      <c r="AR4" s="5"/>
      <c r="AS4" s="5" t="n">
        <v>15</v>
      </c>
      <c r="AT4" s="5" t="n">
        <v>25</v>
      </c>
      <c r="AU4" s="5" t="n">
        <v>10</v>
      </c>
      <c r="AV4" s="5" t="n">
        <v>20</v>
      </c>
      <c r="AW4" s="5" t="n">
        <v>30</v>
      </c>
      <c r="AX4" s="5"/>
      <c r="AY4" s="5" t="n">
        <v>10</v>
      </c>
      <c r="AZ4" s="5" t="n">
        <v>20</v>
      </c>
      <c r="BA4" s="5" t="n">
        <v>15</v>
      </c>
      <c r="BB4" s="5" t="n">
        <v>25</v>
      </c>
      <c r="BC4" s="5" t="n">
        <v>30</v>
      </c>
      <c r="BD4" s="5"/>
      <c r="BE4" s="5" t="n">
        <v>15</v>
      </c>
      <c r="BF4" s="5" t="n">
        <v>25</v>
      </c>
      <c r="BG4" s="5" t="n">
        <v>10</v>
      </c>
      <c r="BH4" s="5" t="n">
        <v>30</v>
      </c>
      <c r="BI4" s="5" t="n">
        <v>20</v>
      </c>
      <c r="BK4" s="5" t="n">
        <f aca="false">AVERAGE(C4,I4,O4,U4,AA4,AG4,AM4,AS4,AY4,BE4)</f>
        <v>13</v>
      </c>
      <c r="BL4" s="5" t="n">
        <f aca="false">AVERAGE(D4,J4,P4,V4,AB4,AH4,AN4,AT4,AZ4,BF4)</f>
        <v>22</v>
      </c>
      <c r="BM4" s="5" t="n">
        <f aca="false">AVERAGE(,E4,K4,Q4,W4,AC4,AI4,AO4,AU4,BA4,BG4)</f>
        <v>11.3636363636364</v>
      </c>
      <c r="BN4" s="5" t="n">
        <f aca="false">AVERAGE(F4,L4,R4,X4,AD4,AJ4,AP4,AV4,BB4,BH4)</f>
        <v>21</v>
      </c>
      <c r="BO4" s="5" t="n">
        <f aca="false">AVERAGE(G4,M4,S4,Y4,AE4,AK4,AQ4,AW4,BC4,BI4)</f>
        <v>31.5</v>
      </c>
      <c r="BQ4" s="5" t="n">
        <f aca="false">_xlfn.STDEV.P(C4,I4,O4,U4,AA4,AG4,AM4,AS4,AY4,BE4)</f>
        <v>2.44948974278318</v>
      </c>
      <c r="BR4" s="5" t="n">
        <f aca="false">_xlfn.STDEV.P(D4,J4,P4,V4,AB4,AH4,AN4,AT4,AZ4,BF4)</f>
        <v>2.44948974278318</v>
      </c>
      <c r="BS4" s="5" t="n">
        <f aca="false">_xlfn.STDEV.P(,E4,K4,Q4,W4,AC4,AI4,AO4,AU4,BA4,BG4)</f>
        <v>4.31219680932052</v>
      </c>
      <c r="BT4" s="5" t="n">
        <f aca="false">_xlfn.STDEV.P(F4,L4,R4,X4,AD4,AJ4,AP4,AV4,BB4,BH4)</f>
        <v>5.8309518948453</v>
      </c>
      <c r="BU4" s="5" t="n">
        <f aca="false">_xlfn.STDEV.P(G4,M4,S4,Y4,AE4,AK4,AQ4,AW4,BC4,BI4)</f>
        <v>5.93717104351896</v>
      </c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15</v>
      </c>
      <c r="D5" s="5" t="n">
        <v>20</v>
      </c>
      <c r="E5" s="5" t="n">
        <v>20</v>
      </c>
      <c r="F5" s="5" t="n">
        <v>15</v>
      </c>
      <c r="G5" s="5" t="n">
        <v>30</v>
      </c>
      <c r="H5" s="5"/>
      <c r="I5" s="5" t="n">
        <v>10</v>
      </c>
      <c r="J5" s="5" t="n">
        <v>20</v>
      </c>
      <c r="K5" s="5" t="n">
        <v>20</v>
      </c>
      <c r="L5" s="5" t="n">
        <v>20</v>
      </c>
      <c r="M5" s="5" t="n">
        <v>30</v>
      </c>
      <c r="N5" s="5"/>
      <c r="O5" s="5" t="n">
        <v>10</v>
      </c>
      <c r="P5" s="5" t="n">
        <v>20</v>
      </c>
      <c r="Q5" s="5" t="n">
        <v>25</v>
      </c>
      <c r="R5" s="5" t="n">
        <v>20</v>
      </c>
      <c r="S5" s="5" t="n">
        <v>25</v>
      </c>
      <c r="T5" s="5"/>
      <c r="U5" s="5" t="n">
        <v>15</v>
      </c>
      <c r="V5" s="5" t="n">
        <v>20</v>
      </c>
      <c r="W5" s="5" t="n">
        <v>20</v>
      </c>
      <c r="X5" s="5" t="n">
        <v>15</v>
      </c>
      <c r="Y5" s="5" t="n">
        <v>30</v>
      </c>
      <c r="Z5" s="5"/>
      <c r="AA5" s="5" t="n">
        <v>15</v>
      </c>
      <c r="AB5" s="5" t="n">
        <v>20</v>
      </c>
      <c r="AC5" s="5" t="n">
        <v>20</v>
      </c>
      <c r="AD5" s="5" t="n">
        <v>15</v>
      </c>
      <c r="AE5" s="5" t="n">
        <v>30</v>
      </c>
      <c r="AF5" s="5"/>
      <c r="AG5" s="5" t="n">
        <v>10</v>
      </c>
      <c r="AH5" s="5" t="n">
        <v>20</v>
      </c>
      <c r="AI5" s="5" t="n">
        <v>20</v>
      </c>
      <c r="AJ5" s="5" t="n">
        <v>20</v>
      </c>
      <c r="AK5" s="5" t="n">
        <v>30</v>
      </c>
      <c r="AL5" s="5"/>
      <c r="AM5" s="5" t="n">
        <v>15</v>
      </c>
      <c r="AN5" s="5" t="n">
        <v>20</v>
      </c>
      <c r="AO5" s="5" t="n">
        <v>20</v>
      </c>
      <c r="AP5" s="5" t="n">
        <v>15</v>
      </c>
      <c r="AQ5" s="5" t="n">
        <v>30</v>
      </c>
      <c r="AR5" s="5"/>
      <c r="AS5" s="5" t="n">
        <v>15</v>
      </c>
      <c r="AT5" s="5" t="n">
        <v>20</v>
      </c>
      <c r="AU5" s="5" t="n">
        <v>25</v>
      </c>
      <c r="AV5" s="5" t="n">
        <v>10</v>
      </c>
      <c r="AW5" s="5" t="n">
        <v>30</v>
      </c>
      <c r="AX5" s="5"/>
      <c r="AY5" s="5" t="n">
        <v>15</v>
      </c>
      <c r="AZ5" s="5" t="n">
        <v>20</v>
      </c>
      <c r="BA5" s="5" t="n">
        <v>20</v>
      </c>
      <c r="BB5" s="5" t="n">
        <v>15</v>
      </c>
      <c r="BC5" s="5" t="n">
        <v>30</v>
      </c>
      <c r="BD5" s="5"/>
      <c r="BE5" s="5" t="n">
        <v>15</v>
      </c>
      <c r="BF5" s="5" t="n">
        <v>20</v>
      </c>
      <c r="BG5" s="5" t="n">
        <v>15</v>
      </c>
      <c r="BH5" s="5" t="n">
        <v>10</v>
      </c>
      <c r="BI5" s="5" t="n">
        <v>40</v>
      </c>
      <c r="BK5" s="5" t="n">
        <f aca="false">AVERAGE(C5,I5,O5,U5,AA5,AG5,AM5,AS5,AY5,BE5)</f>
        <v>13.5</v>
      </c>
      <c r="BL5" s="5" t="n">
        <f aca="false">AVERAGE(D5,J5,P5,V5,AB5,AH5,AN5,AT5,AZ5,BF5)</f>
        <v>20</v>
      </c>
      <c r="BM5" s="5" t="n">
        <f aca="false">AVERAGE(,E5,K5,Q5,W5,AC5,AI5,AO5,AU5,BA5,BG5)</f>
        <v>18.6363636363636</v>
      </c>
      <c r="BN5" s="5" t="n">
        <f aca="false">AVERAGE(F5,L5,R5,X5,AD5,AJ5,AP5,AV5,BB5,BH5)</f>
        <v>15.5</v>
      </c>
      <c r="BO5" s="5" t="n">
        <f aca="false">AVERAGE(G5,M5,S5,Y5,AE5,AK5,AQ5,AW5,BC5,BI5)</f>
        <v>30.5</v>
      </c>
      <c r="BQ5" s="5" t="n">
        <f aca="false">_xlfn.STDEV.P(C5,I5,O5,U5,AA5,AG5,AM5,AS5,AY5,BE5)</f>
        <v>2.29128784747792</v>
      </c>
      <c r="BR5" s="5" t="n">
        <f aca="false">_xlfn.STDEV.P(D5,J5,P5,V5,AB5,AH5,AN5,AT5,AZ5,BF5)</f>
        <v>0</v>
      </c>
      <c r="BS5" s="5" t="n">
        <f aca="false">_xlfn.STDEV.P(,E5,K5,Q5,W5,AC5,AI5,AO5,AU5,BA5,BG5)</f>
        <v>6.42824346533225</v>
      </c>
      <c r="BT5" s="5" t="n">
        <f aca="false">_xlfn.STDEV.P(F5,L5,R5,X5,AD5,AJ5,AP5,AV5,BB5,BH5)</f>
        <v>3.5</v>
      </c>
      <c r="BU5" s="5" t="n">
        <f aca="false">_xlfn.STDEV.P(G5,M5,S5,Y5,AE5,AK5,AQ5,AW5,BC5,BI5)</f>
        <v>3.5</v>
      </c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15</v>
      </c>
      <c r="D6" s="5" t="n">
        <v>20</v>
      </c>
      <c r="E6" s="5" t="n">
        <v>20</v>
      </c>
      <c r="F6" s="5" t="n">
        <v>20</v>
      </c>
      <c r="G6" s="5" t="n">
        <v>25</v>
      </c>
      <c r="H6" s="5"/>
      <c r="I6" s="5" t="n">
        <v>10</v>
      </c>
      <c r="J6" s="5" t="n">
        <v>20</v>
      </c>
      <c r="K6" s="5" t="n">
        <v>30</v>
      </c>
      <c r="L6" s="5" t="n">
        <v>15</v>
      </c>
      <c r="M6" s="5" t="n">
        <v>25</v>
      </c>
      <c r="N6" s="5"/>
      <c r="O6" s="5" t="n">
        <v>20</v>
      </c>
      <c r="P6" s="5" t="n">
        <v>20</v>
      </c>
      <c r="Q6" s="5" t="n">
        <v>25</v>
      </c>
      <c r="R6" s="5" t="n">
        <v>10</v>
      </c>
      <c r="S6" s="5" t="n">
        <v>25</v>
      </c>
      <c r="T6" s="5"/>
      <c r="U6" s="5" t="n">
        <v>20</v>
      </c>
      <c r="V6" s="5" t="n">
        <v>20</v>
      </c>
      <c r="W6" s="5" t="n">
        <v>20</v>
      </c>
      <c r="X6" s="5" t="n">
        <v>20</v>
      </c>
      <c r="Y6" s="5" t="n">
        <v>20</v>
      </c>
      <c r="Z6" s="5"/>
      <c r="AA6" s="5" t="n">
        <v>10</v>
      </c>
      <c r="AB6" s="5" t="n">
        <v>20</v>
      </c>
      <c r="AC6" s="5" t="n">
        <v>20</v>
      </c>
      <c r="AD6" s="5" t="n">
        <v>20</v>
      </c>
      <c r="AE6" s="5" t="n">
        <v>30</v>
      </c>
      <c r="AF6" s="5"/>
      <c r="AG6" s="5" t="n">
        <v>10</v>
      </c>
      <c r="AH6" s="5" t="n">
        <v>20</v>
      </c>
      <c r="AI6" s="5" t="n">
        <v>20</v>
      </c>
      <c r="AJ6" s="5" t="n">
        <v>20</v>
      </c>
      <c r="AK6" s="5" t="n">
        <v>30</v>
      </c>
      <c r="AL6" s="5"/>
      <c r="AM6" s="5" t="n">
        <v>20</v>
      </c>
      <c r="AN6" s="5" t="n">
        <v>20</v>
      </c>
      <c r="AO6" s="5" t="n">
        <v>20</v>
      </c>
      <c r="AP6" s="5" t="n">
        <v>20</v>
      </c>
      <c r="AQ6" s="5" t="n">
        <v>20</v>
      </c>
      <c r="AR6" s="5"/>
      <c r="AS6" s="5" t="n">
        <v>15</v>
      </c>
      <c r="AT6" s="5" t="n">
        <v>25</v>
      </c>
      <c r="AU6" s="5" t="n">
        <v>25</v>
      </c>
      <c r="AV6" s="5" t="n">
        <v>10</v>
      </c>
      <c r="AW6" s="5" t="n">
        <v>25</v>
      </c>
      <c r="AX6" s="5"/>
      <c r="AY6" s="5" t="n">
        <v>10</v>
      </c>
      <c r="AZ6" s="5" t="n">
        <v>20</v>
      </c>
      <c r="BA6" s="5" t="n">
        <v>25</v>
      </c>
      <c r="BB6" s="5" t="n">
        <v>10</v>
      </c>
      <c r="BC6" s="5" t="n">
        <v>35</v>
      </c>
      <c r="BD6" s="5"/>
      <c r="BE6" s="5" t="n">
        <v>15</v>
      </c>
      <c r="BF6" s="5" t="n">
        <v>20</v>
      </c>
      <c r="BG6" s="5" t="n">
        <v>25</v>
      </c>
      <c r="BH6" s="5" t="n">
        <v>20</v>
      </c>
      <c r="BI6" s="5" t="n">
        <v>20</v>
      </c>
      <c r="BK6" s="5" t="n">
        <f aca="false">AVERAGE(C6,I6,O6,U6,AA6,AG6,AM6,AS6,AY6,BE6)</f>
        <v>14.5</v>
      </c>
      <c r="BL6" s="5" t="n">
        <f aca="false">AVERAGE(D6,J6,P6,V6,AB6,AH6,AN6,AT6,AZ6,BF6)</f>
        <v>20.5</v>
      </c>
      <c r="BM6" s="5" t="n">
        <f aca="false">AVERAGE(,E6,K6,Q6,W6,AC6,AI6,AO6,AU6,BA6,BG6)</f>
        <v>20.9090909090909</v>
      </c>
      <c r="BN6" s="5" t="n">
        <f aca="false">AVERAGE(F6,L6,R6,X6,AD6,AJ6,AP6,AV6,BB6,BH6)</f>
        <v>16.5</v>
      </c>
      <c r="BO6" s="5" t="n">
        <f aca="false">AVERAGE(G6,M6,S6,Y6,AE6,AK6,AQ6,AW6,BC6,BI6)</f>
        <v>25.5</v>
      </c>
      <c r="BQ6" s="5" t="n">
        <f aca="false">_xlfn.STDEV.P(C6,I6,O6,U6,AA6,AG6,AM6,AS6,AY6,BE6)</f>
        <v>4.15331193145904</v>
      </c>
      <c r="BR6" s="5" t="n">
        <f aca="false">_xlfn.STDEV.P(D6,J6,P6,V6,AB6,AH6,AN6,AT6,AZ6,BF6)</f>
        <v>1.5</v>
      </c>
      <c r="BS6" s="5" t="n">
        <f aca="false">_xlfn.STDEV.P(,E6,K6,Q6,W6,AC6,AI6,AO6,AU6,BA6,BG6)</f>
        <v>7.32932522572595</v>
      </c>
      <c r="BT6" s="5" t="n">
        <f aca="false">_xlfn.STDEV.P(F6,L6,R6,X6,AD6,AJ6,AP6,AV6,BB6,BH6)</f>
        <v>4.5</v>
      </c>
      <c r="BU6" s="5" t="n">
        <f aca="false">_xlfn.STDEV.P(G6,M6,S6,Y6,AE6,AK6,AQ6,AW6,BC6,BI6)</f>
        <v>4.7169905660283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10</v>
      </c>
      <c r="D7" s="5" t="n">
        <v>20</v>
      </c>
      <c r="E7" s="5" t="n">
        <v>10</v>
      </c>
      <c r="F7" s="5" t="n">
        <v>20</v>
      </c>
      <c r="G7" s="5" t="n">
        <v>40</v>
      </c>
      <c r="H7" s="5"/>
      <c r="I7" s="5" t="n">
        <v>10</v>
      </c>
      <c r="J7" s="5" t="n">
        <v>20</v>
      </c>
      <c r="K7" s="5" t="n">
        <v>10</v>
      </c>
      <c r="L7" s="5" t="n">
        <v>10</v>
      </c>
      <c r="M7" s="5" t="n">
        <v>50</v>
      </c>
      <c r="N7" s="5"/>
      <c r="O7" s="5" t="n">
        <v>10</v>
      </c>
      <c r="P7" s="5" t="n">
        <v>20</v>
      </c>
      <c r="Q7" s="5" t="n">
        <v>10</v>
      </c>
      <c r="R7" s="5" t="n">
        <v>10</v>
      </c>
      <c r="S7" s="5" t="n">
        <v>50</v>
      </c>
      <c r="T7" s="5"/>
      <c r="U7" s="5" t="n">
        <v>10</v>
      </c>
      <c r="V7" s="5" t="n">
        <v>20</v>
      </c>
      <c r="W7" s="5" t="n">
        <v>10</v>
      </c>
      <c r="X7" s="5" t="n">
        <v>20</v>
      </c>
      <c r="Y7" s="5" t="n">
        <v>40</v>
      </c>
      <c r="Z7" s="5"/>
      <c r="AA7" s="5" t="n">
        <v>10</v>
      </c>
      <c r="AB7" s="5" t="n">
        <v>20</v>
      </c>
      <c r="AC7" s="5" t="n">
        <v>10</v>
      </c>
      <c r="AD7" s="5" t="n">
        <v>10</v>
      </c>
      <c r="AE7" s="5" t="n">
        <v>50</v>
      </c>
      <c r="AF7" s="5"/>
      <c r="AG7" s="5" t="n">
        <v>10</v>
      </c>
      <c r="AH7" s="5" t="n">
        <v>20</v>
      </c>
      <c r="AI7" s="5" t="n">
        <v>10</v>
      </c>
      <c r="AJ7" s="5" t="n">
        <v>20</v>
      </c>
      <c r="AK7" s="5" t="n">
        <v>40</v>
      </c>
      <c r="AL7" s="5"/>
      <c r="AM7" s="5" t="n">
        <v>10</v>
      </c>
      <c r="AN7" s="5" t="n">
        <v>20</v>
      </c>
      <c r="AO7" s="5" t="n">
        <v>10</v>
      </c>
      <c r="AP7" s="5" t="n">
        <v>20</v>
      </c>
      <c r="AQ7" s="5" t="n">
        <v>40</v>
      </c>
      <c r="AR7" s="5"/>
      <c r="AS7" s="5" t="n">
        <v>10</v>
      </c>
      <c r="AT7" s="5" t="n">
        <v>15</v>
      </c>
      <c r="AU7" s="5" t="n">
        <v>10</v>
      </c>
      <c r="AV7" s="5" t="n">
        <v>15</v>
      </c>
      <c r="AW7" s="5" t="n">
        <v>50</v>
      </c>
      <c r="AX7" s="5"/>
      <c r="AY7" s="5" t="n">
        <v>15</v>
      </c>
      <c r="AZ7" s="5" t="n">
        <v>20</v>
      </c>
      <c r="BA7" s="5" t="n">
        <v>10</v>
      </c>
      <c r="BB7" s="5" t="n">
        <v>10</v>
      </c>
      <c r="BC7" s="5" t="n">
        <v>45</v>
      </c>
      <c r="BD7" s="5"/>
      <c r="BE7" s="5" t="n">
        <v>10</v>
      </c>
      <c r="BF7" s="5" t="n">
        <v>20</v>
      </c>
      <c r="BG7" s="5" t="n">
        <v>10</v>
      </c>
      <c r="BH7" s="5" t="n">
        <v>10</v>
      </c>
      <c r="BI7" s="5" t="n">
        <v>50</v>
      </c>
      <c r="BK7" s="5" t="n">
        <f aca="false">AVERAGE(C7,I7,O7,U7,AA7,AG7,AM7,AS7,AY7,BE7)</f>
        <v>10.5</v>
      </c>
      <c r="BL7" s="5" t="n">
        <f aca="false">AVERAGE(D7,J7,P7,V7,AB7,AH7,AN7,AT7,AZ7,BF7)</f>
        <v>19.5</v>
      </c>
      <c r="BM7" s="5" t="n">
        <f aca="false">AVERAGE(,E7,K7,Q7,W7,AC7,AI7,AO7,AU7,BA7,BG7)</f>
        <v>9.09090909090909</v>
      </c>
      <c r="BN7" s="5" t="n">
        <f aca="false">AVERAGE(F7,L7,R7,X7,AD7,AJ7,AP7,AV7,BB7,BH7)</f>
        <v>14.5</v>
      </c>
      <c r="BO7" s="5" t="n">
        <f aca="false">AVERAGE(G7,M7,S7,Y7,AE7,AK7,AQ7,AW7,BC7,BI7)</f>
        <v>45.5</v>
      </c>
      <c r="BQ7" s="5" t="n">
        <f aca="false">_xlfn.STDEV.P(C7,I7,O7,U7,AA7,AG7,AM7,AS7,AY7,BE7)</f>
        <v>1.5</v>
      </c>
      <c r="BR7" s="5" t="n">
        <f aca="false">_xlfn.STDEV.P(D7,J7,P7,V7,AB7,AH7,AN7,AT7,AZ7,BF7)</f>
        <v>1.5</v>
      </c>
      <c r="BS7" s="5" t="n">
        <f aca="false">_xlfn.STDEV.P(,E7,K7,Q7,W7,AC7,AI7,AO7,AU7,BA7,BG7)</f>
        <v>2.87479787288034</v>
      </c>
      <c r="BT7" s="5" t="n">
        <f aca="false">_xlfn.STDEV.P(F7,L7,R7,X7,AD7,AJ7,AP7,AV7,BB7,BH7)</f>
        <v>4.7169905660283</v>
      </c>
      <c r="BU7" s="5" t="n">
        <f aca="false">_xlfn.STDEV.P(G7,M7,S7,Y7,AE7,AK7,AQ7,AW7,BC7,BI7)</f>
        <v>4.7169905660283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20</v>
      </c>
      <c r="D8" s="5" t="n">
        <v>20</v>
      </c>
      <c r="E8" s="5" t="n">
        <v>15</v>
      </c>
      <c r="F8" s="5" t="n">
        <v>10</v>
      </c>
      <c r="G8" s="5" t="n">
        <v>35</v>
      </c>
      <c r="H8" s="5"/>
      <c r="I8" s="5" t="n">
        <v>20</v>
      </c>
      <c r="J8" s="5" t="n">
        <v>20</v>
      </c>
      <c r="K8" s="5" t="n">
        <v>10</v>
      </c>
      <c r="L8" s="5" t="n">
        <v>15</v>
      </c>
      <c r="M8" s="5" t="n">
        <v>35</v>
      </c>
      <c r="N8" s="5"/>
      <c r="O8" s="5" t="n">
        <v>20</v>
      </c>
      <c r="P8" s="5" t="n">
        <v>20</v>
      </c>
      <c r="Q8" s="5" t="n">
        <v>10</v>
      </c>
      <c r="R8" s="5" t="n">
        <v>10</v>
      </c>
      <c r="S8" s="5" t="n">
        <v>40</v>
      </c>
      <c r="T8" s="5"/>
      <c r="U8" s="5" t="n">
        <v>20</v>
      </c>
      <c r="V8" s="5" t="n">
        <v>20</v>
      </c>
      <c r="W8" s="5" t="n">
        <v>10</v>
      </c>
      <c r="X8" s="5" t="n">
        <v>10</v>
      </c>
      <c r="Y8" s="5" t="n">
        <v>40</v>
      </c>
      <c r="Z8" s="5"/>
      <c r="AA8" s="5" t="n">
        <v>20</v>
      </c>
      <c r="AB8" s="5" t="n">
        <v>20</v>
      </c>
      <c r="AC8" s="5" t="n">
        <v>20</v>
      </c>
      <c r="AD8" s="5" t="n">
        <v>15</v>
      </c>
      <c r="AE8" s="5" t="n">
        <v>25</v>
      </c>
      <c r="AF8" s="5"/>
      <c r="AG8" s="5" t="n">
        <v>15</v>
      </c>
      <c r="AH8" s="5" t="n">
        <v>25</v>
      </c>
      <c r="AI8" s="5" t="n">
        <v>10</v>
      </c>
      <c r="AJ8" s="5" t="n">
        <v>10</v>
      </c>
      <c r="AK8" s="5" t="n">
        <v>40</v>
      </c>
      <c r="AL8" s="5"/>
      <c r="AM8" s="5" t="n">
        <v>20</v>
      </c>
      <c r="AN8" s="5" t="n">
        <v>20</v>
      </c>
      <c r="AO8" s="5" t="n">
        <v>10</v>
      </c>
      <c r="AP8" s="5" t="n">
        <v>15</v>
      </c>
      <c r="AQ8" s="5" t="n">
        <v>35</v>
      </c>
      <c r="AR8" s="5"/>
      <c r="AS8" s="5" t="n">
        <v>20</v>
      </c>
      <c r="AT8" s="5" t="n">
        <v>20</v>
      </c>
      <c r="AU8" s="5" t="n">
        <v>10</v>
      </c>
      <c r="AV8" s="5" t="n">
        <v>15</v>
      </c>
      <c r="AW8" s="5" t="n">
        <v>35</v>
      </c>
      <c r="AX8" s="5"/>
      <c r="AY8" s="5" t="n">
        <v>20</v>
      </c>
      <c r="AZ8" s="5" t="n">
        <v>20</v>
      </c>
      <c r="BA8" s="5" t="n">
        <v>10</v>
      </c>
      <c r="BB8" s="5" t="n">
        <v>20</v>
      </c>
      <c r="BC8" s="5" t="n">
        <v>30</v>
      </c>
      <c r="BD8" s="5"/>
      <c r="BE8" s="5" t="n">
        <v>20</v>
      </c>
      <c r="BF8" s="5" t="n">
        <v>20</v>
      </c>
      <c r="BG8" s="5" t="n">
        <v>10</v>
      </c>
      <c r="BH8" s="5" t="n">
        <v>10</v>
      </c>
      <c r="BI8" s="5" t="n">
        <v>40</v>
      </c>
      <c r="BK8" s="5" t="n">
        <f aca="false">AVERAGE(C8,I8,O8,U8,AA8,AG8,AM8,AS8,AY8,BE8)</f>
        <v>19.5</v>
      </c>
      <c r="BL8" s="5" t="n">
        <f aca="false">AVERAGE(D8,J8,P8,V8,AB8,AH8,AN8,AT8,AZ8,BF8)</f>
        <v>20.5</v>
      </c>
      <c r="BM8" s="5" t="n">
        <f aca="false">AVERAGE(,E8,K8,Q8,W8,AC8,AI8,AO8,AU8,BA8,BG8)</f>
        <v>10.4545454545455</v>
      </c>
      <c r="BN8" s="5" t="n">
        <f aca="false">AVERAGE(F8,L8,R8,X8,AD8,AJ8,AP8,AV8,BB8,BH8)</f>
        <v>13</v>
      </c>
      <c r="BO8" s="5" t="n">
        <f aca="false">AVERAGE(G8,M8,S8,Y8,AE8,AK8,AQ8,AW8,BC8,BI8)</f>
        <v>35.5</v>
      </c>
      <c r="BQ8" s="5" t="n">
        <f aca="false">_xlfn.STDEV.P(C8,I8,O8,U8,AA8,AG8,AM8,AS8,AY8,BE8)</f>
        <v>1.5</v>
      </c>
      <c r="BR8" s="5" t="n">
        <f aca="false">_xlfn.STDEV.P(D8,J8,P8,V8,AB8,AH8,AN8,AT8,AZ8,BF8)</f>
        <v>1.5</v>
      </c>
      <c r="BS8" s="5" t="n">
        <f aca="false">_xlfn.STDEV.P(,E8,K8,Q8,W8,AC8,AI8,AO8,AU8,BA8,BG8)</f>
        <v>4.49977042573258</v>
      </c>
      <c r="BT8" s="5" t="n">
        <f aca="false">_xlfn.STDEV.P(F8,L8,R8,X8,AD8,AJ8,AP8,AV8,BB8,BH8)</f>
        <v>3.3166247903554</v>
      </c>
      <c r="BU8" s="5" t="n">
        <f aca="false">_xlfn.STDEV.P(G8,M8,S8,Y8,AE8,AK8,AQ8,AW8,BC8,BI8)</f>
        <v>4.7169905660283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20</v>
      </c>
      <c r="D9" s="5" t="n">
        <v>20</v>
      </c>
      <c r="E9" s="5" t="n">
        <v>10</v>
      </c>
      <c r="F9" s="5" t="n">
        <v>20</v>
      </c>
      <c r="G9" s="5" t="n">
        <v>30</v>
      </c>
      <c r="H9" s="5"/>
      <c r="I9" s="5" t="n">
        <v>20</v>
      </c>
      <c r="J9" s="5" t="n">
        <v>20</v>
      </c>
      <c r="K9" s="5" t="n">
        <v>15</v>
      </c>
      <c r="L9" s="5" t="n">
        <v>15</v>
      </c>
      <c r="M9" s="5" t="n">
        <v>30</v>
      </c>
      <c r="N9" s="5"/>
      <c r="O9" s="5" t="n">
        <v>25</v>
      </c>
      <c r="P9" s="5" t="n">
        <v>25</v>
      </c>
      <c r="Q9" s="5" t="n">
        <v>10</v>
      </c>
      <c r="R9" s="5" t="n">
        <v>15</v>
      </c>
      <c r="S9" s="5" t="n">
        <v>25</v>
      </c>
      <c r="T9" s="5"/>
      <c r="U9" s="5" t="n">
        <v>20</v>
      </c>
      <c r="V9" s="5" t="n">
        <v>20</v>
      </c>
      <c r="W9" s="5" t="n">
        <v>20</v>
      </c>
      <c r="X9" s="5" t="n">
        <v>20</v>
      </c>
      <c r="Y9" s="5" t="n">
        <v>20</v>
      </c>
      <c r="Z9" s="5"/>
      <c r="AA9" s="5" t="n">
        <v>25</v>
      </c>
      <c r="AB9" s="5" t="n">
        <v>25</v>
      </c>
      <c r="AC9" s="5" t="n">
        <v>10</v>
      </c>
      <c r="AD9" s="5" t="n">
        <v>15</v>
      </c>
      <c r="AE9" s="5" t="n">
        <v>25</v>
      </c>
      <c r="AF9" s="5"/>
      <c r="AG9" s="5" t="n">
        <v>20</v>
      </c>
      <c r="AH9" s="5" t="n">
        <v>20</v>
      </c>
      <c r="AI9" s="5" t="n">
        <v>10</v>
      </c>
      <c r="AJ9" s="5" t="n">
        <v>10</v>
      </c>
      <c r="AK9" s="5" t="n">
        <v>40</v>
      </c>
      <c r="AL9" s="5"/>
      <c r="AM9" s="5" t="n">
        <v>15</v>
      </c>
      <c r="AN9" s="5" t="n">
        <v>25</v>
      </c>
      <c r="AO9" s="5" t="n">
        <v>10</v>
      </c>
      <c r="AP9" s="5" t="n">
        <v>15</v>
      </c>
      <c r="AQ9" s="5" t="n">
        <v>35</v>
      </c>
      <c r="AR9" s="5"/>
      <c r="AS9" s="5" t="n">
        <v>25</v>
      </c>
      <c r="AT9" s="5" t="n">
        <v>20</v>
      </c>
      <c r="AU9" s="5" t="n">
        <v>15</v>
      </c>
      <c r="AV9" s="5" t="n">
        <v>25</v>
      </c>
      <c r="AW9" s="5" t="n">
        <v>15</v>
      </c>
      <c r="AX9" s="5"/>
      <c r="AY9" s="5" t="n">
        <v>25</v>
      </c>
      <c r="AZ9" s="5" t="n">
        <v>25</v>
      </c>
      <c r="BA9" s="5" t="n">
        <v>15</v>
      </c>
      <c r="BB9" s="5" t="n">
        <v>10</v>
      </c>
      <c r="BC9" s="5" t="n">
        <v>25</v>
      </c>
      <c r="BD9" s="5"/>
      <c r="BE9" s="5" t="n">
        <v>25</v>
      </c>
      <c r="BF9" s="5" t="n">
        <v>25</v>
      </c>
      <c r="BG9" s="5" t="n">
        <v>10</v>
      </c>
      <c r="BH9" s="5" t="n">
        <v>20</v>
      </c>
      <c r="BI9" s="5" t="n">
        <v>20</v>
      </c>
      <c r="BK9" s="5" t="n">
        <f aca="false">AVERAGE(C9,I9,O9,U9,AA9,AG9,AM9,AS9,AY9,BE9)</f>
        <v>22</v>
      </c>
      <c r="BL9" s="5" t="n">
        <f aca="false">AVERAGE(D9,J9,P9,V9,AB9,AH9,AN9,AT9,AZ9,BF9)</f>
        <v>22.5</v>
      </c>
      <c r="BM9" s="5" t="n">
        <f aca="false">AVERAGE(,E9,K9,Q9,W9,AC9,AI9,AO9,AU9,BA9,BG9)</f>
        <v>11.3636363636364</v>
      </c>
      <c r="BN9" s="5" t="n">
        <f aca="false">AVERAGE(F9,L9,R9,X9,AD9,AJ9,AP9,AV9,BB9,BH9)</f>
        <v>16.5</v>
      </c>
      <c r="BO9" s="5" t="n">
        <f aca="false">AVERAGE(G9,M9,S9,Y9,AE9,AK9,AQ9,AW9,BC9,BI9)</f>
        <v>26.5</v>
      </c>
      <c r="BQ9" s="5" t="n">
        <f aca="false">_xlfn.STDEV.P(C9,I9,O9,U9,AA9,AG9,AM9,AS9,AY9,BE9)</f>
        <v>3.3166247903554</v>
      </c>
      <c r="BR9" s="5" t="n">
        <f aca="false">_xlfn.STDEV.P(D9,J9,P9,V9,AB9,AH9,AN9,AT9,AZ9,BF9)</f>
        <v>2.5</v>
      </c>
      <c r="BS9" s="5" t="n">
        <f aca="false">_xlfn.STDEV.P(,E9,K9,Q9,W9,AC9,AI9,AO9,AU9,BA9,BG9)</f>
        <v>4.81045692920835</v>
      </c>
      <c r="BT9" s="5" t="n">
        <f aca="false">_xlfn.STDEV.P(F9,L9,R9,X9,AD9,AJ9,AP9,AV9,BB9,BH9)</f>
        <v>4.5</v>
      </c>
      <c r="BU9" s="5" t="n">
        <f aca="false">_xlfn.STDEV.P(G9,M9,S9,Y9,AE9,AK9,AQ9,AW9,BC9,BI9)</f>
        <v>7.08872343937891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20</v>
      </c>
      <c r="D10" s="5" t="n">
        <v>20</v>
      </c>
      <c r="E10" s="5" t="n">
        <v>20</v>
      </c>
      <c r="F10" s="5" t="n">
        <v>20</v>
      </c>
      <c r="G10" s="5" t="n">
        <v>20</v>
      </c>
      <c r="H10" s="5"/>
      <c r="I10" s="5" t="n">
        <v>15</v>
      </c>
      <c r="J10" s="5" t="n">
        <v>25</v>
      </c>
      <c r="K10" s="5" t="n">
        <v>15</v>
      </c>
      <c r="L10" s="5" t="n">
        <v>20</v>
      </c>
      <c r="M10" s="5" t="n">
        <v>25</v>
      </c>
      <c r="N10" s="5"/>
      <c r="O10" s="5" t="n">
        <v>15</v>
      </c>
      <c r="P10" s="5" t="n">
        <v>30</v>
      </c>
      <c r="Q10" s="5" t="n">
        <v>10</v>
      </c>
      <c r="R10" s="5" t="n">
        <v>20</v>
      </c>
      <c r="S10" s="5" t="n">
        <v>25</v>
      </c>
      <c r="T10" s="5"/>
      <c r="U10" s="5" t="n">
        <v>15</v>
      </c>
      <c r="V10" s="5" t="n">
        <v>25</v>
      </c>
      <c r="W10" s="5" t="n">
        <v>15</v>
      </c>
      <c r="X10" s="5" t="n">
        <v>25</v>
      </c>
      <c r="Y10" s="5" t="n">
        <v>20</v>
      </c>
      <c r="Z10" s="5"/>
      <c r="AA10" s="5" t="n">
        <v>15</v>
      </c>
      <c r="AB10" s="5" t="n">
        <v>25</v>
      </c>
      <c r="AC10" s="5" t="n">
        <v>15</v>
      </c>
      <c r="AD10" s="5" t="n">
        <v>20</v>
      </c>
      <c r="AE10" s="5" t="n">
        <v>25</v>
      </c>
      <c r="AF10" s="5"/>
      <c r="AG10" s="5" t="n">
        <v>15</v>
      </c>
      <c r="AH10" s="5" t="n">
        <v>25</v>
      </c>
      <c r="AI10" s="5" t="n">
        <v>10</v>
      </c>
      <c r="AJ10" s="5" t="n">
        <v>20</v>
      </c>
      <c r="AK10" s="5" t="n">
        <v>30</v>
      </c>
      <c r="AL10" s="5"/>
      <c r="AM10" s="5" t="n">
        <v>15</v>
      </c>
      <c r="AN10" s="5" t="n">
        <v>25</v>
      </c>
      <c r="AO10" s="5" t="n">
        <v>15</v>
      </c>
      <c r="AP10" s="5" t="n">
        <v>20</v>
      </c>
      <c r="AQ10" s="5" t="n">
        <v>25</v>
      </c>
      <c r="AR10" s="5"/>
      <c r="AS10" s="5" t="n">
        <v>20</v>
      </c>
      <c r="AT10" s="5" t="n">
        <v>25</v>
      </c>
      <c r="AU10" s="5" t="n">
        <v>15</v>
      </c>
      <c r="AV10" s="5" t="n">
        <v>20</v>
      </c>
      <c r="AW10" s="5" t="n">
        <v>20</v>
      </c>
      <c r="AX10" s="5"/>
      <c r="AY10" s="5" t="n">
        <v>15</v>
      </c>
      <c r="AZ10" s="5" t="n">
        <v>25</v>
      </c>
      <c r="BA10" s="5" t="n">
        <v>10</v>
      </c>
      <c r="BB10" s="5" t="n">
        <v>15</v>
      </c>
      <c r="BC10" s="5" t="n">
        <v>35</v>
      </c>
      <c r="BD10" s="5"/>
      <c r="BE10" s="5" t="n">
        <v>15</v>
      </c>
      <c r="BF10" s="5" t="n">
        <v>25</v>
      </c>
      <c r="BG10" s="5" t="n">
        <v>15</v>
      </c>
      <c r="BH10" s="5" t="n">
        <v>20</v>
      </c>
      <c r="BI10" s="5" t="n">
        <v>25</v>
      </c>
      <c r="BK10" s="5" t="n">
        <f aca="false">AVERAGE(C10,I10,O10,U10,AA10,AG10,AM10,AS10,AY10,BE10)</f>
        <v>16</v>
      </c>
      <c r="BL10" s="5" t="n">
        <f aca="false">AVERAGE(D10,J10,P10,V10,AB10,AH10,AN10,AT10,AZ10,BF10)</f>
        <v>25</v>
      </c>
      <c r="BM10" s="5" t="n">
        <f aca="false">AVERAGE(,E10,K10,Q10,W10,AC10,AI10,AO10,AU10,BA10,BG10)</f>
        <v>12.7272727272727</v>
      </c>
      <c r="BN10" s="5" t="n">
        <f aca="false">AVERAGE(F10,L10,R10,X10,AD10,AJ10,AP10,AV10,BB10,BH10)</f>
        <v>20</v>
      </c>
      <c r="BO10" s="5" t="n">
        <f aca="false">AVERAGE(G10,M10,S10,Y10,AE10,AK10,AQ10,AW10,BC10,BI10)</f>
        <v>25</v>
      </c>
      <c r="BQ10" s="5" t="n">
        <f aca="false">_xlfn.STDEV.P(C10,I10,O10,U10,AA10,AG10,AM10,AS10,AY10,BE10)</f>
        <v>2</v>
      </c>
      <c r="BR10" s="5" t="n">
        <f aca="false">_xlfn.STDEV.P(D10,J10,P10,V10,AB10,AH10,AN10,AT10,AZ10,BF10)</f>
        <v>2.23606797749979</v>
      </c>
      <c r="BS10" s="5" t="n">
        <f aca="false">_xlfn.STDEV.P(,E10,K10,Q10,W10,AC10,AI10,AO10,AU10,BA10,BG10)</f>
        <v>4.9376274960001</v>
      </c>
      <c r="BT10" s="5" t="n">
        <f aca="false">_xlfn.STDEV.P(F10,L10,R10,X10,AD10,AJ10,AP10,AV10,BB10,BH10)</f>
        <v>2.23606797749979</v>
      </c>
      <c r="BU10" s="5" t="n">
        <f aca="false">_xlfn.STDEV.P(G10,M10,S10,Y10,AE10,AK10,AQ10,AW10,BC10,BI10)</f>
        <v>4.47213595499958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15</v>
      </c>
      <c r="D11" s="5" t="n">
        <v>20</v>
      </c>
      <c r="E11" s="5" t="n">
        <v>15</v>
      </c>
      <c r="F11" s="5" t="n">
        <v>25</v>
      </c>
      <c r="G11" s="5" t="n">
        <v>25</v>
      </c>
      <c r="H11" s="5"/>
      <c r="I11" s="5" t="n">
        <v>10</v>
      </c>
      <c r="J11" s="5" t="n">
        <v>25</v>
      </c>
      <c r="K11" s="5" t="n">
        <v>10</v>
      </c>
      <c r="L11" s="5" t="n">
        <v>20</v>
      </c>
      <c r="M11" s="5" t="n">
        <v>35</v>
      </c>
      <c r="N11" s="5"/>
      <c r="O11" s="5" t="n">
        <v>15</v>
      </c>
      <c r="P11" s="5" t="n">
        <v>25</v>
      </c>
      <c r="Q11" s="5" t="n">
        <v>10</v>
      </c>
      <c r="R11" s="5" t="n">
        <v>20</v>
      </c>
      <c r="S11" s="5" t="n">
        <v>30</v>
      </c>
      <c r="T11" s="5"/>
      <c r="U11" s="5" t="n">
        <v>15</v>
      </c>
      <c r="V11" s="5" t="n">
        <v>25</v>
      </c>
      <c r="W11" s="5" t="n">
        <v>20</v>
      </c>
      <c r="X11" s="5" t="n">
        <v>20</v>
      </c>
      <c r="Y11" s="5" t="n">
        <v>20</v>
      </c>
      <c r="Z11" s="5"/>
      <c r="AA11" s="5" t="n">
        <v>20</v>
      </c>
      <c r="AB11" s="5" t="n">
        <v>25</v>
      </c>
      <c r="AC11" s="5" t="n">
        <v>15</v>
      </c>
      <c r="AD11" s="5" t="n">
        <v>20</v>
      </c>
      <c r="AE11" s="5" t="n">
        <v>20</v>
      </c>
      <c r="AF11" s="5"/>
      <c r="AG11" s="5" t="n">
        <v>20</v>
      </c>
      <c r="AH11" s="5" t="n">
        <v>20</v>
      </c>
      <c r="AI11" s="5" t="n">
        <v>20</v>
      </c>
      <c r="AJ11" s="5" t="n">
        <v>20</v>
      </c>
      <c r="AK11" s="5" t="n">
        <v>20</v>
      </c>
      <c r="AL11" s="5"/>
      <c r="AM11" s="5" t="n">
        <v>15</v>
      </c>
      <c r="AN11" s="5" t="n">
        <v>25</v>
      </c>
      <c r="AO11" s="5" t="n">
        <v>15</v>
      </c>
      <c r="AP11" s="5" t="n">
        <v>25</v>
      </c>
      <c r="AQ11" s="5" t="n">
        <v>20</v>
      </c>
      <c r="AR11" s="5"/>
      <c r="AS11" s="5" t="n">
        <v>20</v>
      </c>
      <c r="AT11" s="5" t="n">
        <v>25</v>
      </c>
      <c r="AU11" s="5" t="n">
        <v>15</v>
      </c>
      <c r="AV11" s="5" t="n">
        <v>15</v>
      </c>
      <c r="AW11" s="5" t="n">
        <v>25</v>
      </c>
      <c r="AX11" s="5"/>
      <c r="AY11" s="5" t="n">
        <v>15</v>
      </c>
      <c r="AZ11" s="5" t="n">
        <v>25</v>
      </c>
      <c r="BA11" s="5" t="n">
        <v>10</v>
      </c>
      <c r="BB11" s="5" t="n">
        <v>25</v>
      </c>
      <c r="BC11" s="5" t="n">
        <v>25</v>
      </c>
      <c r="BD11" s="5"/>
      <c r="BE11" s="5" t="n">
        <v>20</v>
      </c>
      <c r="BF11" s="5" t="n">
        <v>20</v>
      </c>
      <c r="BG11" s="5" t="n">
        <v>20</v>
      </c>
      <c r="BH11" s="5" t="n">
        <v>20</v>
      </c>
      <c r="BI11" s="5" t="n">
        <v>20</v>
      </c>
      <c r="BK11" s="5" t="n">
        <f aca="false">AVERAGE(C11,I11,O11,U11,AA11,AG11,AM11,AS11,AY11,BE11)</f>
        <v>16.5</v>
      </c>
      <c r="BL11" s="5" t="n">
        <f aca="false">AVERAGE(D11,J11,P11,V11,AB11,AH11,AN11,AT11,AZ11,BF11)</f>
        <v>23.5</v>
      </c>
      <c r="BM11" s="5" t="n">
        <f aca="false">AVERAGE(,E11,K11,Q11,W11,AC11,AI11,AO11,AU11,BA11,BG11)</f>
        <v>13.6363636363636</v>
      </c>
      <c r="BN11" s="5" t="n">
        <f aca="false">AVERAGE(F11,L11,R11,X11,AD11,AJ11,AP11,AV11,BB11,BH11)</f>
        <v>21</v>
      </c>
      <c r="BO11" s="5" t="n">
        <f aca="false">AVERAGE(G11,M11,S11,Y11,AE11,AK11,AQ11,AW11,BC11,BI11)</f>
        <v>24</v>
      </c>
      <c r="BQ11" s="5" t="n">
        <f aca="false">_xlfn.STDEV.P(C11,I11,O11,U11,AA11,AG11,AM11,AS11,AY11,BE11)</f>
        <v>3.20156211871642</v>
      </c>
      <c r="BR11" s="5" t="n">
        <f aca="false">_xlfn.STDEV.P(D11,J11,P11,V11,AB11,AH11,AN11,AT11,AZ11,BF11)</f>
        <v>2.29128784747792</v>
      </c>
      <c r="BS11" s="5" t="n">
        <f aca="false">_xlfn.STDEV.P(,E11,K11,Q11,W11,AC11,AI11,AO11,AU11,BA11,BG11)</f>
        <v>5.67727090763491</v>
      </c>
      <c r="BT11" s="5" t="n">
        <f aca="false">_xlfn.STDEV.P(F11,L11,R11,X11,AD11,AJ11,AP11,AV11,BB11,BH11)</f>
        <v>3</v>
      </c>
      <c r="BU11" s="5" t="n">
        <f aca="false">_xlfn.STDEV.P(G11,M11,S11,Y11,AE11,AK11,AQ11,AW11,BC11,BI11)</f>
        <v>4.89897948556636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20</v>
      </c>
      <c r="D12" s="5" t="n">
        <v>20</v>
      </c>
      <c r="E12" s="5" t="n">
        <v>20</v>
      </c>
      <c r="F12" s="5" t="n">
        <v>20</v>
      </c>
      <c r="G12" s="5" t="n">
        <v>20</v>
      </c>
      <c r="H12" s="5"/>
      <c r="I12" s="5" t="n">
        <v>20</v>
      </c>
      <c r="J12" s="5" t="n">
        <v>20</v>
      </c>
      <c r="K12" s="5" t="n">
        <v>20</v>
      </c>
      <c r="L12" s="5" t="n">
        <v>20</v>
      </c>
      <c r="M12" s="5" t="n">
        <v>20</v>
      </c>
      <c r="N12" s="5"/>
      <c r="O12" s="5" t="n">
        <v>15</v>
      </c>
      <c r="P12" s="5" t="n">
        <v>25</v>
      </c>
      <c r="Q12" s="5" t="n">
        <v>10</v>
      </c>
      <c r="R12" s="5" t="n">
        <v>20</v>
      </c>
      <c r="S12" s="5" t="n">
        <v>30</v>
      </c>
      <c r="T12" s="5"/>
      <c r="U12" s="5" t="n">
        <v>20</v>
      </c>
      <c r="V12" s="5" t="n">
        <v>30</v>
      </c>
      <c r="W12" s="5" t="n">
        <v>10</v>
      </c>
      <c r="X12" s="5" t="n">
        <v>20</v>
      </c>
      <c r="Y12" s="5" t="n">
        <v>20</v>
      </c>
      <c r="Z12" s="5"/>
      <c r="AA12" s="5" t="n">
        <v>20</v>
      </c>
      <c r="AB12" s="5" t="n">
        <v>20</v>
      </c>
      <c r="AC12" s="5" t="n">
        <v>20</v>
      </c>
      <c r="AD12" s="5" t="n">
        <v>20</v>
      </c>
      <c r="AE12" s="5" t="n">
        <v>20</v>
      </c>
      <c r="AF12" s="5"/>
      <c r="AG12" s="5" t="n">
        <v>20</v>
      </c>
      <c r="AH12" s="5" t="n">
        <v>20</v>
      </c>
      <c r="AI12" s="5" t="n">
        <v>20</v>
      </c>
      <c r="AJ12" s="5" t="n">
        <v>20</v>
      </c>
      <c r="AK12" s="5" t="n">
        <v>20</v>
      </c>
      <c r="AL12" s="5"/>
      <c r="AM12" s="5" t="n">
        <v>20</v>
      </c>
      <c r="AN12" s="5" t="n">
        <v>20</v>
      </c>
      <c r="AO12" s="5" t="n">
        <v>20</v>
      </c>
      <c r="AP12" s="5" t="n">
        <v>20</v>
      </c>
      <c r="AQ12" s="5" t="n">
        <v>20</v>
      </c>
      <c r="AR12" s="5"/>
      <c r="AS12" s="5" t="n">
        <v>15</v>
      </c>
      <c r="AT12" s="5" t="n">
        <v>25</v>
      </c>
      <c r="AU12" s="5" t="n">
        <v>15</v>
      </c>
      <c r="AV12" s="5" t="n">
        <v>25</v>
      </c>
      <c r="AW12" s="5" t="n">
        <v>20</v>
      </c>
      <c r="AX12" s="5"/>
      <c r="AY12" s="5" t="n">
        <v>20</v>
      </c>
      <c r="AZ12" s="5" t="n">
        <v>20</v>
      </c>
      <c r="BA12" s="5" t="n">
        <v>15</v>
      </c>
      <c r="BB12" s="5" t="n">
        <v>20</v>
      </c>
      <c r="BC12" s="5" t="n">
        <v>25</v>
      </c>
      <c r="BD12" s="5"/>
      <c r="BE12" s="5" t="n">
        <v>10</v>
      </c>
      <c r="BF12" s="5" t="n">
        <v>25</v>
      </c>
      <c r="BG12" s="5" t="n">
        <v>20</v>
      </c>
      <c r="BH12" s="5" t="n">
        <v>25</v>
      </c>
      <c r="BI12" s="5" t="n">
        <v>20</v>
      </c>
      <c r="BK12" s="5" t="n">
        <f aca="false">AVERAGE(C12,I12,O12,U12,AA12,AG12,AM12,AS12,AY12,BE12)</f>
        <v>18</v>
      </c>
      <c r="BL12" s="5" t="n">
        <f aca="false">AVERAGE(D12,J12,P12,V12,AB12,AH12,AN12,AT12,AZ12,BF12)</f>
        <v>22.5</v>
      </c>
      <c r="BM12" s="5" t="n">
        <f aca="false">AVERAGE(,E12,K12,Q12,W12,AC12,AI12,AO12,AU12,BA12,BG12)</f>
        <v>15.4545454545455</v>
      </c>
      <c r="BN12" s="5" t="n">
        <f aca="false">AVERAGE(F12,L12,R12,X12,AD12,AJ12,AP12,AV12,BB12,BH12)</f>
        <v>21</v>
      </c>
      <c r="BO12" s="5" t="n">
        <f aca="false">AVERAGE(G12,M12,S12,Y12,AE12,AK12,AQ12,AW12,BC12,BI12)</f>
        <v>21.5</v>
      </c>
      <c r="BQ12" s="5" t="n">
        <f aca="false">_xlfn.STDEV.P(C12,I12,O12,U12,AA12,AG12,AM12,AS12,AY12,BE12)</f>
        <v>3.3166247903554</v>
      </c>
      <c r="BR12" s="5" t="n">
        <f aca="false">_xlfn.STDEV.P(D12,J12,P12,V12,AB12,AH12,AN12,AT12,AZ12,BF12)</f>
        <v>3.35410196624968</v>
      </c>
      <c r="BS12" s="5" t="n">
        <f aca="false">_xlfn.STDEV.P(,E12,K12,Q12,W12,AC12,AI12,AO12,AU12,BA12,BG12)</f>
        <v>6.19917349862994</v>
      </c>
      <c r="BT12" s="5" t="n">
        <f aca="false">_xlfn.STDEV.P(F12,L12,R12,X12,AD12,AJ12,AP12,AV12,BB12,BH12)</f>
        <v>2</v>
      </c>
      <c r="BU12" s="5" t="n">
        <f aca="false">_xlfn.STDEV.P(G12,M12,S12,Y12,AE12,AK12,AQ12,AW12,BC12,BI12)</f>
        <v>3.20156211871642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15</v>
      </c>
      <c r="D13" s="5" t="n">
        <v>30</v>
      </c>
      <c r="E13" s="5" t="n">
        <v>20</v>
      </c>
      <c r="F13" s="5" t="n">
        <v>15</v>
      </c>
      <c r="G13" s="5" t="n">
        <v>20</v>
      </c>
      <c r="H13" s="5"/>
      <c r="I13" s="5" t="n">
        <v>20</v>
      </c>
      <c r="J13" s="5" t="n">
        <v>20</v>
      </c>
      <c r="K13" s="5" t="n">
        <v>20</v>
      </c>
      <c r="L13" s="5" t="n">
        <v>20</v>
      </c>
      <c r="M13" s="5" t="n">
        <v>20</v>
      </c>
      <c r="N13" s="5"/>
      <c r="O13" s="5" t="n">
        <v>20</v>
      </c>
      <c r="P13" s="5" t="n">
        <v>30</v>
      </c>
      <c r="Q13" s="5" t="n">
        <v>10</v>
      </c>
      <c r="R13" s="5" t="n">
        <v>20</v>
      </c>
      <c r="S13" s="5" t="n">
        <v>20</v>
      </c>
      <c r="T13" s="5"/>
      <c r="U13" s="5" t="n">
        <v>20</v>
      </c>
      <c r="V13" s="5" t="n">
        <v>20</v>
      </c>
      <c r="W13" s="5" t="n">
        <v>20</v>
      </c>
      <c r="X13" s="5" t="n">
        <v>20</v>
      </c>
      <c r="Y13" s="5" t="n">
        <v>20</v>
      </c>
      <c r="Z13" s="5"/>
      <c r="AA13" s="5" t="n">
        <v>15</v>
      </c>
      <c r="AB13" s="5" t="n">
        <v>30</v>
      </c>
      <c r="AC13" s="5" t="n">
        <v>10</v>
      </c>
      <c r="AD13" s="5" t="n">
        <v>25</v>
      </c>
      <c r="AE13" s="5" t="n">
        <v>20</v>
      </c>
      <c r="AF13" s="5"/>
      <c r="AG13" s="5" t="n">
        <v>20</v>
      </c>
      <c r="AH13" s="5" t="n">
        <v>20</v>
      </c>
      <c r="AI13" s="5" t="n">
        <v>20</v>
      </c>
      <c r="AJ13" s="5" t="n">
        <v>20</v>
      </c>
      <c r="AK13" s="5" t="n">
        <v>20</v>
      </c>
      <c r="AL13" s="5"/>
      <c r="AM13" s="5" t="n">
        <v>15</v>
      </c>
      <c r="AN13" s="5" t="n">
        <v>25</v>
      </c>
      <c r="AO13" s="5" t="n">
        <v>20</v>
      </c>
      <c r="AP13" s="5" t="n">
        <v>20</v>
      </c>
      <c r="AQ13" s="5" t="n">
        <v>20</v>
      </c>
      <c r="AR13" s="5"/>
      <c r="AS13" s="5" t="n">
        <v>20</v>
      </c>
      <c r="AT13" s="5" t="n">
        <v>20</v>
      </c>
      <c r="AU13" s="5" t="n">
        <v>20</v>
      </c>
      <c r="AV13" s="5" t="n">
        <v>20</v>
      </c>
      <c r="AW13" s="5" t="n">
        <v>20</v>
      </c>
      <c r="AX13" s="5"/>
      <c r="AY13" s="5" t="n">
        <v>20</v>
      </c>
      <c r="AZ13" s="5" t="n">
        <v>20</v>
      </c>
      <c r="BA13" s="5" t="n">
        <v>15</v>
      </c>
      <c r="BB13" s="5" t="n">
        <v>25</v>
      </c>
      <c r="BC13" s="5" t="n">
        <v>20</v>
      </c>
      <c r="BD13" s="5"/>
      <c r="BE13" s="5" t="n">
        <v>10</v>
      </c>
      <c r="BF13" s="5" t="n">
        <v>30</v>
      </c>
      <c r="BG13" s="5" t="n">
        <v>10</v>
      </c>
      <c r="BH13" s="5" t="n">
        <v>20</v>
      </c>
      <c r="BI13" s="5" t="n">
        <v>30</v>
      </c>
      <c r="BK13" s="5" t="n">
        <f aca="false">AVERAGE(C13,I13,O13,U13,AA13,AG13,AM13,AS13,AY13,BE13)</f>
        <v>17.5</v>
      </c>
      <c r="BL13" s="5" t="n">
        <f aca="false">AVERAGE(D13,J13,P13,V13,AB13,AH13,AN13,AT13,AZ13,BF13)</f>
        <v>24.5</v>
      </c>
      <c r="BM13" s="5" t="n">
        <f aca="false">AVERAGE(,E13,K13,Q13,W13,AC13,AI13,AO13,AU13,BA13,BG13)</f>
        <v>15</v>
      </c>
      <c r="BN13" s="5" t="n">
        <f aca="false">AVERAGE(F13,L13,R13,X13,AD13,AJ13,AP13,AV13,BB13,BH13)</f>
        <v>20.5</v>
      </c>
      <c r="BO13" s="5" t="n">
        <f aca="false">AVERAGE(G13,M13,S13,Y13,AE13,AK13,AQ13,AW13,BC13,BI13)</f>
        <v>21</v>
      </c>
      <c r="BQ13" s="5" t="n">
        <f aca="false">_xlfn.STDEV.P(C13,I13,O13,U13,AA13,AG13,AM13,AS13,AY13,BE13)</f>
        <v>3.35410196624968</v>
      </c>
      <c r="BR13" s="5" t="n">
        <f aca="false">_xlfn.STDEV.P(D13,J13,P13,V13,AB13,AH13,AN13,AT13,AZ13,BF13)</f>
        <v>4.7169905660283</v>
      </c>
      <c r="BS13" s="5" t="n">
        <f aca="false">_xlfn.STDEV.P(,E13,K13,Q13,W13,AC13,AI13,AO13,AU13,BA13,BG13)</f>
        <v>6.39602149066831</v>
      </c>
      <c r="BT13" s="5" t="n">
        <f aca="false">_xlfn.STDEV.P(F13,L13,R13,X13,AD13,AJ13,AP13,AV13,BB13,BH13)</f>
        <v>2.69258240356725</v>
      </c>
      <c r="BU13" s="5" t="n">
        <f aca="false">_xlfn.STDEV.P(G13,M13,S13,Y13,AE13,AK13,AQ13,AW13,BC13,BI13)</f>
        <v>3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15</v>
      </c>
      <c r="D14" s="5" t="n">
        <v>20</v>
      </c>
      <c r="E14" s="5" t="n">
        <v>15</v>
      </c>
      <c r="F14" s="5" t="n">
        <v>20</v>
      </c>
      <c r="G14" s="5" t="n">
        <v>30</v>
      </c>
      <c r="H14" s="5"/>
      <c r="I14" s="5" t="n">
        <v>15</v>
      </c>
      <c r="J14" s="5" t="n">
        <v>20</v>
      </c>
      <c r="K14" s="5" t="n">
        <v>15</v>
      </c>
      <c r="L14" s="5" t="n">
        <v>20</v>
      </c>
      <c r="M14" s="5" t="n">
        <v>30</v>
      </c>
      <c r="N14" s="5"/>
      <c r="O14" s="5" t="n">
        <v>15</v>
      </c>
      <c r="P14" s="5" t="n">
        <v>20</v>
      </c>
      <c r="Q14" s="5" t="n">
        <v>15</v>
      </c>
      <c r="R14" s="5" t="n">
        <v>25</v>
      </c>
      <c r="S14" s="5" t="n">
        <v>25</v>
      </c>
      <c r="T14" s="5"/>
      <c r="U14" s="5" t="n">
        <v>15</v>
      </c>
      <c r="V14" s="5" t="n">
        <v>25</v>
      </c>
      <c r="W14" s="5" t="n">
        <v>15</v>
      </c>
      <c r="X14" s="5" t="n">
        <v>20</v>
      </c>
      <c r="Y14" s="5" t="n">
        <v>25</v>
      </c>
      <c r="Z14" s="5"/>
      <c r="AA14" s="5" t="n">
        <v>20</v>
      </c>
      <c r="AB14" s="5" t="n">
        <v>20</v>
      </c>
      <c r="AC14" s="5" t="n">
        <v>15</v>
      </c>
      <c r="AD14" s="5" t="n">
        <v>20</v>
      </c>
      <c r="AE14" s="5" t="n">
        <v>25</v>
      </c>
      <c r="AF14" s="5"/>
      <c r="AG14" s="5" t="n">
        <v>15</v>
      </c>
      <c r="AH14" s="5" t="n">
        <v>20</v>
      </c>
      <c r="AI14" s="5" t="n">
        <v>5</v>
      </c>
      <c r="AJ14" s="5" t="n">
        <v>25</v>
      </c>
      <c r="AK14" s="5" t="n">
        <v>35</v>
      </c>
      <c r="AL14" s="5"/>
      <c r="AM14" s="5" t="n">
        <v>20</v>
      </c>
      <c r="AN14" s="5" t="n">
        <v>20</v>
      </c>
      <c r="AO14" s="5" t="n">
        <v>15</v>
      </c>
      <c r="AP14" s="5" t="n">
        <v>20</v>
      </c>
      <c r="AQ14" s="5" t="n">
        <v>25</v>
      </c>
      <c r="AR14" s="5"/>
      <c r="AS14" s="5" t="n">
        <v>20</v>
      </c>
      <c r="AT14" s="5" t="n">
        <v>20</v>
      </c>
      <c r="AU14" s="5" t="n">
        <v>20</v>
      </c>
      <c r="AV14" s="5" t="n">
        <v>20</v>
      </c>
      <c r="AW14" s="5" t="n">
        <v>20</v>
      </c>
      <c r="AX14" s="5"/>
      <c r="AY14" s="5" t="n">
        <v>20</v>
      </c>
      <c r="AZ14" s="5" t="n">
        <v>15</v>
      </c>
      <c r="BA14" s="5" t="n">
        <v>15</v>
      </c>
      <c r="BB14" s="5" t="n">
        <v>25</v>
      </c>
      <c r="BC14" s="5" t="n">
        <v>25</v>
      </c>
      <c r="BD14" s="5"/>
      <c r="BE14" s="5" t="n">
        <v>20</v>
      </c>
      <c r="BF14" s="5" t="n">
        <v>20</v>
      </c>
      <c r="BG14" s="5" t="n">
        <v>10</v>
      </c>
      <c r="BH14" s="5" t="n">
        <v>25</v>
      </c>
      <c r="BI14" s="5" t="n">
        <v>25</v>
      </c>
      <c r="BK14" s="5" t="n">
        <f aca="false">AVERAGE(C14,I14,O14,U14,AA14,AG14,AM14,AS14,AY14,BE14)</f>
        <v>17.5</v>
      </c>
      <c r="BL14" s="5" t="n">
        <f aca="false">AVERAGE(D14,J14,P14,V14,AB14,AH14,AN14,AT14,AZ14,BF14)</f>
        <v>20</v>
      </c>
      <c r="BM14" s="5" t="n">
        <f aca="false">AVERAGE(,E14,K14,Q14,W14,AC14,AI14,AO14,AU14,BA14,BG14)</f>
        <v>12.7272727272727</v>
      </c>
      <c r="BN14" s="5" t="n">
        <f aca="false">AVERAGE(F14,L14,R14,X14,AD14,AJ14,AP14,AV14,BB14,BH14)</f>
        <v>22</v>
      </c>
      <c r="BO14" s="5" t="n">
        <f aca="false">AVERAGE(G14,M14,S14,Y14,AE14,AK14,AQ14,AW14,BC14,BI14)</f>
        <v>26.5</v>
      </c>
      <c r="BQ14" s="5" t="n">
        <f aca="false">_xlfn.STDEV.P(C14,I14,O14,U14,AA14,AG14,AM14,AS14,AY14,BE14)</f>
        <v>2.5</v>
      </c>
      <c r="BR14" s="5" t="n">
        <f aca="false">_xlfn.STDEV.P(D14,J14,P14,V14,AB14,AH14,AN14,AT14,AZ14,BF14)</f>
        <v>2.23606797749979</v>
      </c>
      <c r="BS14" s="5" t="n">
        <f aca="false">_xlfn.STDEV.P(,E14,K14,Q14,W14,AC14,AI14,AO14,AU14,BA14,BG14)</f>
        <v>5.37825434827238</v>
      </c>
      <c r="BT14" s="5" t="n">
        <f aca="false">_xlfn.STDEV.P(F14,L14,R14,X14,AD14,AJ14,AP14,AV14,BB14,BH14)</f>
        <v>2.44948974278318</v>
      </c>
      <c r="BU14" s="5" t="n">
        <f aca="false">_xlfn.STDEV.P(G14,M14,S14,Y14,AE14,AK14,AQ14,AW14,BC14,BI14)</f>
        <v>3.90512483795333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20</v>
      </c>
      <c r="D15" s="5" t="n">
        <v>20</v>
      </c>
      <c r="E15" s="5" t="n">
        <v>20</v>
      </c>
      <c r="F15" s="5" t="n">
        <v>20</v>
      </c>
      <c r="G15" s="5" t="n">
        <v>20</v>
      </c>
      <c r="H15" s="5"/>
      <c r="I15" s="5" t="n">
        <v>20</v>
      </c>
      <c r="J15" s="5" t="n">
        <v>20</v>
      </c>
      <c r="K15" s="5" t="n">
        <v>20</v>
      </c>
      <c r="L15" s="5" t="n">
        <v>20</v>
      </c>
      <c r="M15" s="5" t="n">
        <v>20</v>
      </c>
      <c r="N15" s="5"/>
      <c r="O15" s="5" t="n">
        <v>20</v>
      </c>
      <c r="P15" s="5" t="n">
        <v>20</v>
      </c>
      <c r="Q15" s="5" t="n">
        <v>20</v>
      </c>
      <c r="R15" s="5" t="n">
        <v>20</v>
      </c>
      <c r="S15" s="5" t="n">
        <v>20</v>
      </c>
      <c r="T15" s="5"/>
      <c r="U15" s="5" t="n">
        <v>15</v>
      </c>
      <c r="V15" s="5" t="n">
        <v>25</v>
      </c>
      <c r="W15" s="5" t="n">
        <v>15</v>
      </c>
      <c r="X15" s="5" t="n">
        <v>25</v>
      </c>
      <c r="Y15" s="5" t="n">
        <v>20</v>
      </c>
      <c r="Z15" s="5"/>
      <c r="AA15" s="5" t="n">
        <v>20</v>
      </c>
      <c r="AB15" s="5" t="n">
        <v>20</v>
      </c>
      <c r="AC15" s="5" t="n">
        <v>20</v>
      </c>
      <c r="AD15" s="5" t="n">
        <v>20</v>
      </c>
      <c r="AE15" s="5" t="n">
        <v>20</v>
      </c>
      <c r="AF15" s="5"/>
      <c r="AG15" s="5" t="n">
        <v>15</v>
      </c>
      <c r="AH15" s="5" t="n">
        <v>25</v>
      </c>
      <c r="AI15" s="5" t="n">
        <v>10</v>
      </c>
      <c r="AJ15" s="5" t="n">
        <v>25</v>
      </c>
      <c r="AK15" s="5" t="n">
        <v>25</v>
      </c>
      <c r="AL15" s="5"/>
      <c r="AM15" s="5" t="n">
        <v>10</v>
      </c>
      <c r="AN15" s="5" t="n">
        <v>25</v>
      </c>
      <c r="AO15" s="5" t="n">
        <v>10</v>
      </c>
      <c r="AP15" s="5" t="n">
        <v>25</v>
      </c>
      <c r="AQ15" s="5" t="n">
        <v>30</v>
      </c>
      <c r="AR15" s="5"/>
      <c r="AS15" s="5" t="n">
        <v>15</v>
      </c>
      <c r="AT15" s="5" t="n">
        <v>20</v>
      </c>
      <c r="AU15" s="5" t="n">
        <v>10</v>
      </c>
      <c r="AV15" s="5" t="n">
        <v>25</v>
      </c>
      <c r="AW15" s="5" t="n">
        <v>30</v>
      </c>
      <c r="AX15" s="5"/>
      <c r="AY15" s="5" t="n">
        <v>15</v>
      </c>
      <c r="AZ15" s="5" t="n">
        <v>25</v>
      </c>
      <c r="BA15" s="5" t="n">
        <v>10</v>
      </c>
      <c r="BB15" s="5" t="n">
        <v>25</v>
      </c>
      <c r="BC15" s="5" t="n">
        <v>25</v>
      </c>
      <c r="BD15" s="5"/>
      <c r="BE15" s="5" t="n">
        <v>15</v>
      </c>
      <c r="BF15" s="5" t="n">
        <v>20</v>
      </c>
      <c r="BG15" s="5" t="n">
        <v>20</v>
      </c>
      <c r="BH15" s="5" t="n">
        <v>20</v>
      </c>
      <c r="BI15" s="5" t="n">
        <v>25</v>
      </c>
      <c r="BK15" s="5" t="n">
        <f aca="false">AVERAGE(C15,I15,O15,U15,AA15,AG15,AM15,AS15,AY15,BE15)</f>
        <v>16.5</v>
      </c>
      <c r="BL15" s="5" t="n">
        <f aca="false">AVERAGE(D15,J15,P15,V15,AB15,AH15,AN15,AT15,AZ15,BF15)</f>
        <v>22</v>
      </c>
      <c r="BM15" s="5" t="n">
        <f aca="false">AVERAGE(,E15,K15,Q15,W15,AC15,AI15,AO15,AU15,BA15,BG15)</f>
        <v>14.0909090909091</v>
      </c>
      <c r="BN15" s="5" t="n">
        <f aca="false">AVERAGE(F15,L15,R15,X15,AD15,AJ15,AP15,AV15,BB15,BH15)</f>
        <v>22.5</v>
      </c>
      <c r="BO15" s="5" t="n">
        <f aca="false">AVERAGE(G15,M15,S15,Y15,AE15,AK15,AQ15,AW15,BC15,BI15)</f>
        <v>23.5</v>
      </c>
      <c r="BQ15" s="5" t="n">
        <f aca="false">_xlfn.STDEV.P(C15,I15,O15,U15,AA15,AG15,AM15,AS15,AY15,BE15)</f>
        <v>3.20156211871642</v>
      </c>
      <c r="BR15" s="5" t="n">
        <f aca="false">_xlfn.STDEV.P(D15,J15,P15,V15,AB15,AH15,AN15,AT15,AZ15,BF15)</f>
        <v>2.44948974278318</v>
      </c>
      <c r="BS15" s="5" t="n">
        <f aca="false">_xlfn.STDEV.P(,E15,K15,Q15,W15,AC15,AI15,AO15,AU15,BA15,BG15)</f>
        <v>6.33108558053824</v>
      </c>
      <c r="BT15" s="5" t="n">
        <f aca="false">_xlfn.STDEV.P(F15,L15,R15,X15,AD15,AJ15,AP15,AV15,BB15,BH15)</f>
        <v>2.5</v>
      </c>
      <c r="BU15" s="5" t="n">
        <f aca="false">_xlfn.STDEV.P(G15,M15,S15,Y15,AE15,AK15,AQ15,AW15,BC15,BI15)</f>
        <v>3.90512483795333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20</v>
      </c>
      <c r="D16" s="5" t="n">
        <v>20</v>
      </c>
      <c r="E16" s="5" t="n">
        <v>15</v>
      </c>
      <c r="F16" s="5" t="n">
        <v>15</v>
      </c>
      <c r="G16" s="5" t="n">
        <v>30</v>
      </c>
      <c r="H16" s="5"/>
      <c r="I16" s="5" t="n">
        <v>25</v>
      </c>
      <c r="J16" s="5" t="n">
        <v>20</v>
      </c>
      <c r="K16" s="5" t="n">
        <v>15</v>
      </c>
      <c r="L16" s="5" t="n">
        <v>20</v>
      </c>
      <c r="M16" s="5" t="n">
        <v>20</v>
      </c>
      <c r="N16" s="5"/>
      <c r="O16" s="5" t="n">
        <v>15</v>
      </c>
      <c r="P16" s="5" t="n">
        <v>15</v>
      </c>
      <c r="Q16" s="5" t="n">
        <v>10</v>
      </c>
      <c r="R16" s="5" t="n">
        <v>25</v>
      </c>
      <c r="S16" s="5" t="n">
        <v>35</v>
      </c>
      <c r="T16" s="5"/>
      <c r="U16" s="5" t="n">
        <v>20</v>
      </c>
      <c r="V16" s="5" t="n">
        <v>20</v>
      </c>
      <c r="W16" s="5" t="n">
        <v>20</v>
      </c>
      <c r="X16" s="5" t="n">
        <v>20</v>
      </c>
      <c r="Y16" s="5" t="n">
        <v>20</v>
      </c>
      <c r="Z16" s="5"/>
      <c r="AA16" s="5" t="n">
        <v>20</v>
      </c>
      <c r="AB16" s="5" t="n">
        <v>20</v>
      </c>
      <c r="AC16" s="5" t="n">
        <v>15</v>
      </c>
      <c r="AD16" s="5" t="n">
        <v>25</v>
      </c>
      <c r="AE16" s="5" t="n">
        <v>20</v>
      </c>
      <c r="AF16" s="5"/>
      <c r="AG16" s="5" t="n">
        <v>20</v>
      </c>
      <c r="AH16" s="5" t="n">
        <v>20</v>
      </c>
      <c r="AI16" s="5" t="n">
        <v>20</v>
      </c>
      <c r="AJ16" s="5" t="n">
        <v>20</v>
      </c>
      <c r="AK16" s="5" t="n">
        <v>20</v>
      </c>
      <c r="AL16" s="5"/>
      <c r="AM16" s="5" t="n">
        <v>20</v>
      </c>
      <c r="AN16" s="5" t="n">
        <v>20</v>
      </c>
      <c r="AO16" s="5" t="n">
        <v>15</v>
      </c>
      <c r="AP16" s="5" t="n">
        <v>20</v>
      </c>
      <c r="AQ16" s="5" t="n">
        <v>25</v>
      </c>
      <c r="AR16" s="5"/>
      <c r="AS16" s="5" t="n">
        <v>20</v>
      </c>
      <c r="AT16" s="5" t="n">
        <v>20</v>
      </c>
      <c r="AU16" s="5" t="n">
        <v>10</v>
      </c>
      <c r="AV16" s="5" t="n">
        <v>25</v>
      </c>
      <c r="AW16" s="5" t="n">
        <v>25</v>
      </c>
      <c r="AX16" s="5"/>
      <c r="AY16" s="5" t="n">
        <v>20</v>
      </c>
      <c r="AZ16" s="5" t="n">
        <v>20</v>
      </c>
      <c r="BA16" s="5" t="n">
        <v>15</v>
      </c>
      <c r="BB16" s="5" t="n">
        <v>25</v>
      </c>
      <c r="BC16" s="5" t="n">
        <v>20</v>
      </c>
      <c r="BD16" s="5"/>
      <c r="BE16" s="5" t="n">
        <v>25</v>
      </c>
      <c r="BF16" s="5" t="n">
        <v>25</v>
      </c>
      <c r="BG16" s="5" t="n">
        <v>20</v>
      </c>
      <c r="BH16" s="5" t="n">
        <v>15</v>
      </c>
      <c r="BI16" s="5" t="n">
        <v>15</v>
      </c>
      <c r="BK16" s="5" t="n">
        <f aca="false">AVERAGE(C16,I16,O16,U16,AA16,AG16,AM16,AS16,AY16,BE16)</f>
        <v>20.5</v>
      </c>
      <c r="BL16" s="5" t="n">
        <f aca="false">AVERAGE(D16,J16,P16,V16,AB16,AH16,AN16,AT16,AZ16,BF16)</f>
        <v>20</v>
      </c>
      <c r="BM16" s="5" t="n">
        <f aca="false">AVERAGE(,E16,K16,Q16,W16,AC16,AI16,AO16,AU16,BA16,BG16)</f>
        <v>14.0909090909091</v>
      </c>
      <c r="BN16" s="5" t="n">
        <f aca="false">AVERAGE(F16,L16,R16,X16,AD16,AJ16,AP16,AV16,BB16,BH16)</f>
        <v>21</v>
      </c>
      <c r="BO16" s="5" t="n">
        <f aca="false">AVERAGE(G16,M16,S16,Y16,AE16,AK16,AQ16,AW16,BC16,BI16)</f>
        <v>23</v>
      </c>
      <c r="BQ16" s="5" t="n">
        <f aca="false">_xlfn.STDEV.P(C16,I16,O16,U16,AA16,AG16,AM16,AS16,AY16,BE16)</f>
        <v>2.69258240356725</v>
      </c>
      <c r="BR16" s="5" t="n">
        <f aca="false">_xlfn.STDEV.P(D16,J16,P16,V16,AB16,AH16,AN16,AT16,AZ16,BF16)</f>
        <v>2.23606797749979</v>
      </c>
      <c r="BS16" s="5" t="n">
        <f aca="false">_xlfn.STDEV.P(,E16,K16,Q16,W16,AC16,AI16,AO16,AU16,BA16,BG16)</f>
        <v>5.56702214268904</v>
      </c>
      <c r="BT16" s="5" t="n">
        <f aca="false">_xlfn.STDEV.P(F16,L16,R16,X16,AD16,AJ16,AP16,AV16,BB16,BH16)</f>
        <v>3.74165738677394</v>
      </c>
      <c r="BU16" s="5" t="n">
        <f aca="false">_xlfn.STDEV.P(G16,M16,S16,Y16,AE16,AK16,AQ16,AW16,BC16,BI16)</f>
        <v>5.56776436283002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20</v>
      </c>
      <c r="D17" s="5" t="n">
        <v>20</v>
      </c>
      <c r="E17" s="5" t="n">
        <v>20</v>
      </c>
      <c r="F17" s="5" t="n">
        <v>20</v>
      </c>
      <c r="G17" s="5" t="n">
        <v>20</v>
      </c>
      <c r="H17" s="5"/>
      <c r="I17" s="5" t="n">
        <v>15</v>
      </c>
      <c r="J17" s="5" t="n">
        <v>30</v>
      </c>
      <c r="K17" s="5" t="n">
        <v>10</v>
      </c>
      <c r="L17" s="5" t="n">
        <v>15</v>
      </c>
      <c r="M17" s="5" t="n">
        <v>30</v>
      </c>
      <c r="N17" s="5"/>
      <c r="O17" s="5" t="n">
        <v>20</v>
      </c>
      <c r="P17" s="5" t="n">
        <v>20</v>
      </c>
      <c r="Q17" s="5" t="n">
        <v>20</v>
      </c>
      <c r="R17" s="5" t="n">
        <v>20</v>
      </c>
      <c r="S17" s="5" t="n">
        <v>20</v>
      </c>
      <c r="T17" s="5"/>
      <c r="U17" s="5" t="n">
        <v>20</v>
      </c>
      <c r="V17" s="5" t="n">
        <v>20</v>
      </c>
      <c r="W17" s="5" t="n">
        <v>15</v>
      </c>
      <c r="X17" s="5" t="n">
        <v>25</v>
      </c>
      <c r="Y17" s="5" t="n">
        <v>20</v>
      </c>
      <c r="Z17" s="5"/>
      <c r="AA17" s="5" t="n">
        <v>15</v>
      </c>
      <c r="AB17" s="5" t="n">
        <v>20</v>
      </c>
      <c r="AC17" s="5" t="n">
        <v>15</v>
      </c>
      <c r="AD17" s="5" t="n">
        <v>25</v>
      </c>
      <c r="AE17" s="5" t="n">
        <v>25</v>
      </c>
      <c r="AF17" s="5"/>
      <c r="AG17" s="5" t="n">
        <v>20</v>
      </c>
      <c r="AH17" s="5" t="n">
        <v>20</v>
      </c>
      <c r="AI17" s="5" t="n">
        <v>20</v>
      </c>
      <c r="AJ17" s="5" t="n">
        <v>20</v>
      </c>
      <c r="AK17" s="5" t="n">
        <v>20</v>
      </c>
      <c r="AL17" s="5"/>
      <c r="AM17" s="5" t="n">
        <v>20</v>
      </c>
      <c r="AN17" s="5" t="n">
        <v>20</v>
      </c>
      <c r="AO17" s="5" t="n">
        <v>20</v>
      </c>
      <c r="AP17" s="5" t="n">
        <v>20</v>
      </c>
      <c r="AQ17" s="5" t="n">
        <v>20</v>
      </c>
      <c r="AR17" s="5"/>
      <c r="AS17" s="5" t="n">
        <v>20</v>
      </c>
      <c r="AT17" s="5" t="n">
        <v>25</v>
      </c>
      <c r="AU17" s="5" t="n">
        <v>15</v>
      </c>
      <c r="AV17" s="5" t="n">
        <v>20</v>
      </c>
      <c r="AW17" s="5" t="n">
        <v>20</v>
      </c>
      <c r="AX17" s="5"/>
      <c r="AY17" s="5" t="n">
        <v>15</v>
      </c>
      <c r="AZ17" s="5" t="n">
        <v>25</v>
      </c>
      <c r="BA17" s="5" t="n">
        <v>15</v>
      </c>
      <c r="BB17" s="5" t="n">
        <v>25</v>
      </c>
      <c r="BC17" s="5" t="n">
        <v>20</v>
      </c>
      <c r="BD17" s="5"/>
      <c r="BE17" s="5" t="n">
        <v>20</v>
      </c>
      <c r="BF17" s="5" t="n">
        <v>20</v>
      </c>
      <c r="BG17" s="5" t="n">
        <v>20</v>
      </c>
      <c r="BH17" s="5" t="n">
        <v>20</v>
      </c>
      <c r="BI17" s="5" t="n">
        <v>20</v>
      </c>
      <c r="BK17" s="5" t="n">
        <f aca="false">AVERAGE(C17,I17,O17,U17,AA17,AG17,AM17,AS17,AY17,BE17)</f>
        <v>18.5</v>
      </c>
      <c r="BL17" s="5" t="n">
        <f aca="false">AVERAGE(D17,J17,P17,V17,AB17,AH17,AN17,AT17,AZ17,BF17)</f>
        <v>22</v>
      </c>
      <c r="BM17" s="5" t="n">
        <f aca="false">AVERAGE(,E17,K17,Q17,W17,AC17,AI17,AO17,AU17,BA17,BG17)</f>
        <v>15.4545454545455</v>
      </c>
      <c r="BN17" s="5" t="n">
        <f aca="false">AVERAGE(F17,L17,R17,X17,AD17,AJ17,AP17,AV17,BB17,BH17)</f>
        <v>21</v>
      </c>
      <c r="BO17" s="5" t="n">
        <f aca="false">AVERAGE(G17,M17,S17,Y17,AE17,AK17,AQ17,AW17,BC17,BI17)</f>
        <v>21.5</v>
      </c>
      <c r="BQ17" s="5" t="n">
        <f aca="false">_xlfn.STDEV.P(C17,I17,O17,U17,AA17,AG17,AM17,AS17,AY17,BE17)</f>
        <v>2.29128784747792</v>
      </c>
      <c r="BR17" s="5" t="n">
        <f aca="false">_xlfn.STDEV.P(D17,J17,P17,V17,AB17,AH17,AN17,AT17,AZ17,BF17)</f>
        <v>3.3166247903554</v>
      </c>
      <c r="BS17" s="5" t="n">
        <f aca="false">_xlfn.STDEV.P(,E17,K17,Q17,W17,AC17,AI17,AO17,AU17,BA17,BG17)</f>
        <v>5.82102203402986</v>
      </c>
      <c r="BT17" s="5" t="n">
        <f aca="false">_xlfn.STDEV.P(F17,L17,R17,X17,AD17,AJ17,AP17,AV17,BB17,BH17)</f>
        <v>3</v>
      </c>
      <c r="BU17" s="5" t="n">
        <f aca="false">_xlfn.STDEV.P(G17,M17,S17,Y17,AE17,AK17,AQ17,AW17,BC17,BI17)</f>
        <v>3.20156211871642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20</v>
      </c>
      <c r="D18" s="5" t="n">
        <v>20</v>
      </c>
      <c r="E18" s="5" t="n">
        <v>20</v>
      </c>
      <c r="F18" s="5" t="n">
        <v>20</v>
      </c>
      <c r="G18" s="5" t="n">
        <v>20</v>
      </c>
      <c r="H18" s="5"/>
      <c r="I18" s="5" t="n">
        <v>20</v>
      </c>
      <c r="J18" s="5" t="n">
        <v>20</v>
      </c>
      <c r="K18" s="5" t="n">
        <v>20</v>
      </c>
      <c r="L18" s="5" t="n">
        <v>20</v>
      </c>
      <c r="M18" s="5" t="n">
        <v>20</v>
      </c>
      <c r="N18" s="5"/>
      <c r="O18" s="5" t="n">
        <v>20</v>
      </c>
      <c r="P18" s="5" t="n">
        <v>20</v>
      </c>
      <c r="Q18" s="5" t="n">
        <v>20</v>
      </c>
      <c r="R18" s="5" t="n">
        <v>20</v>
      </c>
      <c r="S18" s="5" t="n">
        <v>20</v>
      </c>
      <c r="T18" s="5"/>
      <c r="U18" s="5" t="n">
        <v>15</v>
      </c>
      <c r="V18" s="5" t="n">
        <v>20</v>
      </c>
      <c r="W18" s="5" t="n">
        <v>15</v>
      </c>
      <c r="X18" s="5" t="n">
        <v>25</v>
      </c>
      <c r="Y18" s="5" t="n">
        <v>25</v>
      </c>
      <c r="Z18" s="5"/>
      <c r="AA18" s="5" t="n">
        <v>15</v>
      </c>
      <c r="AB18" s="5" t="n">
        <v>25</v>
      </c>
      <c r="AC18" s="5" t="n">
        <v>15</v>
      </c>
      <c r="AD18" s="5" t="n">
        <v>15</v>
      </c>
      <c r="AE18" s="5" t="n">
        <v>30</v>
      </c>
      <c r="AF18" s="5"/>
      <c r="AG18" s="5" t="n">
        <v>15</v>
      </c>
      <c r="AH18" s="5" t="n">
        <v>20</v>
      </c>
      <c r="AI18" s="5" t="n">
        <v>15</v>
      </c>
      <c r="AJ18" s="5" t="n">
        <v>25</v>
      </c>
      <c r="AK18" s="5" t="n">
        <v>25</v>
      </c>
      <c r="AL18" s="5"/>
      <c r="AM18" s="5" t="n">
        <v>20</v>
      </c>
      <c r="AN18" s="5" t="n">
        <v>20</v>
      </c>
      <c r="AO18" s="5" t="n">
        <v>20</v>
      </c>
      <c r="AP18" s="5" t="n">
        <v>20</v>
      </c>
      <c r="AQ18" s="5" t="n">
        <v>20</v>
      </c>
      <c r="AR18" s="5"/>
      <c r="AS18" s="5" t="n">
        <v>20</v>
      </c>
      <c r="AT18" s="5" t="n">
        <v>20</v>
      </c>
      <c r="AU18" s="5" t="n">
        <v>20</v>
      </c>
      <c r="AV18" s="5" t="n">
        <v>20</v>
      </c>
      <c r="AW18" s="5" t="n">
        <v>20</v>
      </c>
      <c r="AX18" s="5"/>
      <c r="AY18" s="5" t="n">
        <v>15</v>
      </c>
      <c r="AZ18" s="5" t="n">
        <v>20</v>
      </c>
      <c r="BA18" s="5" t="n">
        <v>15</v>
      </c>
      <c r="BB18" s="5" t="n">
        <v>25</v>
      </c>
      <c r="BC18" s="5" t="n">
        <v>25</v>
      </c>
      <c r="BD18" s="5"/>
      <c r="BE18" s="5" t="n">
        <v>20</v>
      </c>
      <c r="BF18" s="5" t="n">
        <v>20</v>
      </c>
      <c r="BG18" s="5" t="n">
        <v>20</v>
      </c>
      <c r="BH18" s="5" t="n">
        <v>20</v>
      </c>
      <c r="BI18" s="5" t="n">
        <v>20</v>
      </c>
      <c r="BK18" s="5" t="n">
        <f aca="false">AVERAGE(C18,I18,O18,U18,AA18,AG18,AM18,AS18,AY18,BE18)</f>
        <v>18</v>
      </c>
      <c r="BL18" s="5" t="n">
        <f aca="false">AVERAGE(D18,J18,P18,V18,AB18,AH18,AN18,AT18,AZ18,BF18)</f>
        <v>20.5</v>
      </c>
      <c r="BM18" s="5" t="n">
        <f aca="false">AVERAGE(,E18,K18,Q18,W18,AC18,AI18,AO18,AU18,BA18,BG18)</f>
        <v>16.3636363636364</v>
      </c>
      <c r="BN18" s="5" t="n">
        <f aca="false">AVERAGE(F18,L18,R18,X18,AD18,AJ18,AP18,AV18,BB18,BH18)</f>
        <v>21</v>
      </c>
      <c r="BO18" s="5" t="n">
        <f aca="false">AVERAGE(G18,M18,S18,Y18,AE18,AK18,AQ18,AW18,BC18,BI18)</f>
        <v>22.5</v>
      </c>
      <c r="BQ18" s="5" t="n">
        <f aca="false">_xlfn.STDEV.P(C18,I18,O18,U18,AA18,AG18,AM18,AS18,AY18,BE18)</f>
        <v>2.44948974278318</v>
      </c>
      <c r="BR18" s="5" t="n">
        <f aca="false">_xlfn.STDEV.P(D18,J18,P18,V18,AB18,AH18,AN18,AT18,AZ18,BF18)</f>
        <v>1.5</v>
      </c>
      <c r="BS18" s="5" t="n">
        <f aca="false">_xlfn.STDEV.P(,E18,K18,Q18,W18,AC18,AI18,AO18,AU18,BA18,BG18)</f>
        <v>5.67727090763491</v>
      </c>
      <c r="BT18" s="5" t="n">
        <f aca="false">_xlfn.STDEV.P(F18,L18,R18,X18,AD18,AJ18,AP18,AV18,BB18,BH18)</f>
        <v>3</v>
      </c>
      <c r="BU18" s="5" t="n">
        <f aca="false">_xlfn.STDEV.P(G18,M18,S18,Y18,AE18,AK18,AQ18,AW18,BC18,BI18)</f>
        <v>3.35410196624968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20</v>
      </c>
      <c r="D19" s="5" t="n">
        <v>20</v>
      </c>
      <c r="E19" s="5" t="n">
        <v>20</v>
      </c>
      <c r="F19" s="5" t="n">
        <v>20</v>
      </c>
      <c r="G19" s="5" t="n">
        <v>20</v>
      </c>
      <c r="H19" s="5"/>
      <c r="I19" s="5" t="n">
        <v>20</v>
      </c>
      <c r="J19" s="5" t="n">
        <v>20</v>
      </c>
      <c r="K19" s="5" t="n">
        <v>20</v>
      </c>
      <c r="L19" s="5" t="n">
        <v>20</v>
      </c>
      <c r="M19" s="5" t="n">
        <v>20</v>
      </c>
      <c r="N19" s="5"/>
      <c r="O19" s="5" t="n">
        <v>25</v>
      </c>
      <c r="P19" s="5" t="n">
        <v>25</v>
      </c>
      <c r="Q19" s="5" t="n">
        <v>10</v>
      </c>
      <c r="R19" s="5" t="n">
        <v>20</v>
      </c>
      <c r="S19" s="5" t="n">
        <v>20</v>
      </c>
      <c r="T19" s="5"/>
      <c r="U19" s="5" t="n">
        <v>25</v>
      </c>
      <c r="V19" s="5" t="n">
        <v>25</v>
      </c>
      <c r="W19" s="5" t="n">
        <v>15</v>
      </c>
      <c r="X19" s="5" t="n">
        <v>15</v>
      </c>
      <c r="Y19" s="5" t="n">
        <v>20</v>
      </c>
      <c r="Z19" s="5"/>
      <c r="AA19" s="5" t="n">
        <v>20</v>
      </c>
      <c r="AB19" s="5" t="n">
        <v>20</v>
      </c>
      <c r="AC19" s="5" t="n">
        <v>15</v>
      </c>
      <c r="AD19" s="5" t="n">
        <v>25</v>
      </c>
      <c r="AE19" s="5" t="n">
        <v>20</v>
      </c>
      <c r="AF19" s="5"/>
      <c r="AG19" s="5" t="n">
        <v>20</v>
      </c>
      <c r="AH19" s="5" t="n">
        <v>20</v>
      </c>
      <c r="AI19" s="5" t="n">
        <v>20</v>
      </c>
      <c r="AJ19" s="5" t="n">
        <v>20</v>
      </c>
      <c r="AK19" s="5" t="n">
        <v>20</v>
      </c>
      <c r="AL19" s="5"/>
      <c r="AM19" s="5" t="n">
        <v>25</v>
      </c>
      <c r="AN19" s="5" t="n">
        <v>25</v>
      </c>
      <c r="AO19" s="5" t="n">
        <v>10</v>
      </c>
      <c r="AP19" s="5" t="n">
        <v>20</v>
      </c>
      <c r="AQ19" s="5" t="n">
        <v>20</v>
      </c>
      <c r="AR19" s="5"/>
      <c r="AS19" s="5" t="n">
        <v>25</v>
      </c>
      <c r="AT19" s="5" t="n">
        <v>25</v>
      </c>
      <c r="AU19" s="5" t="n">
        <v>15</v>
      </c>
      <c r="AV19" s="5" t="n">
        <v>15</v>
      </c>
      <c r="AW19" s="5" t="n">
        <v>20</v>
      </c>
      <c r="AX19" s="5"/>
      <c r="AY19" s="5" t="n">
        <v>20</v>
      </c>
      <c r="AZ19" s="5" t="n">
        <v>20</v>
      </c>
      <c r="BA19" s="5" t="n">
        <v>10</v>
      </c>
      <c r="BB19" s="5" t="n">
        <v>20</v>
      </c>
      <c r="BC19" s="5" t="n">
        <v>30</v>
      </c>
      <c r="BD19" s="5"/>
      <c r="BE19" s="5" t="n">
        <v>20</v>
      </c>
      <c r="BF19" s="5" t="n">
        <v>20</v>
      </c>
      <c r="BG19" s="5" t="n">
        <v>20</v>
      </c>
      <c r="BH19" s="5" t="n">
        <v>20</v>
      </c>
      <c r="BI19" s="5" t="n">
        <v>20</v>
      </c>
      <c r="BK19" s="5" t="n">
        <f aca="false">AVERAGE(C19,I19,O19,U19,AA19,AG19,AM19,AS19,AY19,BE19)</f>
        <v>22</v>
      </c>
      <c r="BL19" s="5" t="n">
        <f aca="false">AVERAGE(D19,J19,P19,V19,AB19,AH19,AN19,AT19,AZ19,BF19)</f>
        <v>22</v>
      </c>
      <c r="BM19" s="5" t="n">
        <f aca="false">AVERAGE(,E19,K19,Q19,W19,AC19,AI19,AO19,AU19,BA19,BG19)</f>
        <v>14.0909090909091</v>
      </c>
      <c r="BN19" s="5" t="n">
        <f aca="false">AVERAGE(F19,L19,R19,X19,AD19,AJ19,AP19,AV19,BB19,BH19)</f>
        <v>19.5</v>
      </c>
      <c r="BO19" s="5" t="n">
        <f aca="false">AVERAGE(G19,M19,S19,Y19,AE19,AK19,AQ19,AW19,BC19,BI19)</f>
        <v>21</v>
      </c>
      <c r="BQ19" s="5" t="n">
        <f aca="false">_xlfn.STDEV.P(C19,I19,O19,U19,AA19,AG19,AM19,AS19,AY19,BE19)</f>
        <v>2.44948974278318</v>
      </c>
      <c r="BR19" s="5" t="n">
        <f aca="false">_xlfn.STDEV.P(D19,J19,P19,V19,AB19,AH19,AN19,AT19,AZ19,BF19)</f>
        <v>2.44948974278318</v>
      </c>
      <c r="BS19" s="5" t="n">
        <f aca="false">_xlfn.STDEV.P(,E19,K19,Q19,W19,AC19,AI19,AO19,AU19,BA19,BG19)</f>
        <v>5.96130774936546</v>
      </c>
      <c r="BT19" s="5" t="n">
        <f aca="false">_xlfn.STDEV.P(F19,L19,R19,X19,AD19,AJ19,AP19,AV19,BB19,BH19)</f>
        <v>2.69258240356725</v>
      </c>
      <c r="BU19" s="5" t="n">
        <f aca="false">_xlfn.STDEV.P(G19,M19,S19,Y19,AE19,AK19,AQ19,AW19,BC19,BI19)</f>
        <v>3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20</v>
      </c>
      <c r="D20" s="5" t="n">
        <v>20</v>
      </c>
      <c r="E20" s="5" t="n">
        <v>15</v>
      </c>
      <c r="F20" s="5" t="n">
        <v>20</v>
      </c>
      <c r="G20" s="5" t="n">
        <v>25</v>
      </c>
      <c r="H20" s="5"/>
      <c r="I20" s="5" t="n">
        <v>20</v>
      </c>
      <c r="J20" s="5" t="n">
        <v>20</v>
      </c>
      <c r="K20" s="5" t="n">
        <v>15</v>
      </c>
      <c r="L20" s="5" t="n">
        <v>15</v>
      </c>
      <c r="M20" s="5" t="n">
        <v>30</v>
      </c>
      <c r="N20" s="5"/>
      <c r="O20" s="5" t="n">
        <v>20</v>
      </c>
      <c r="P20" s="5" t="n">
        <v>20</v>
      </c>
      <c r="Q20" s="5" t="n">
        <v>15</v>
      </c>
      <c r="R20" s="5" t="n">
        <v>20</v>
      </c>
      <c r="S20" s="5" t="n">
        <v>25</v>
      </c>
      <c r="T20" s="5"/>
      <c r="U20" s="5" t="n">
        <v>25</v>
      </c>
      <c r="V20" s="5" t="n">
        <v>25</v>
      </c>
      <c r="W20" s="5" t="n">
        <v>15</v>
      </c>
      <c r="X20" s="5" t="n">
        <v>15</v>
      </c>
      <c r="Y20" s="5" t="n">
        <v>20</v>
      </c>
      <c r="Z20" s="5"/>
      <c r="AA20" s="5" t="n">
        <v>20</v>
      </c>
      <c r="AB20" s="5" t="n">
        <v>20</v>
      </c>
      <c r="AC20" s="5" t="n">
        <v>10</v>
      </c>
      <c r="AD20" s="5" t="n">
        <v>20</v>
      </c>
      <c r="AE20" s="5" t="n">
        <v>30</v>
      </c>
      <c r="AF20" s="5"/>
      <c r="AG20" s="5" t="n">
        <v>20</v>
      </c>
      <c r="AH20" s="5" t="n">
        <v>20</v>
      </c>
      <c r="AI20" s="5" t="n">
        <v>15</v>
      </c>
      <c r="AJ20" s="5" t="n">
        <v>15</v>
      </c>
      <c r="AK20" s="5" t="n">
        <v>30</v>
      </c>
      <c r="AL20" s="5"/>
      <c r="AM20" s="5" t="n">
        <v>25</v>
      </c>
      <c r="AN20" s="5" t="n">
        <v>20</v>
      </c>
      <c r="AO20" s="5" t="n">
        <v>15</v>
      </c>
      <c r="AP20" s="5" t="n">
        <v>20</v>
      </c>
      <c r="AQ20" s="5" t="n">
        <v>20</v>
      </c>
      <c r="AR20" s="5"/>
      <c r="AS20" s="5" t="n">
        <v>20</v>
      </c>
      <c r="AT20" s="5" t="n">
        <v>25</v>
      </c>
      <c r="AU20" s="5" t="n">
        <v>15</v>
      </c>
      <c r="AV20" s="5" t="n">
        <v>20</v>
      </c>
      <c r="AW20" s="5" t="n">
        <v>20</v>
      </c>
      <c r="AX20" s="5"/>
      <c r="AY20" s="5" t="n">
        <v>20</v>
      </c>
      <c r="AZ20" s="5" t="n">
        <v>20</v>
      </c>
      <c r="BA20" s="5" t="n">
        <v>20</v>
      </c>
      <c r="BB20" s="5" t="n">
        <v>20</v>
      </c>
      <c r="BC20" s="5" t="n">
        <v>20</v>
      </c>
      <c r="BD20" s="5"/>
      <c r="BE20" s="5" t="n">
        <v>20</v>
      </c>
      <c r="BF20" s="5" t="n">
        <v>20</v>
      </c>
      <c r="BG20" s="5" t="n">
        <v>20</v>
      </c>
      <c r="BH20" s="5" t="n">
        <v>20</v>
      </c>
      <c r="BI20" s="5" t="n">
        <v>20</v>
      </c>
      <c r="BK20" s="5" t="n">
        <f aca="false">AVERAGE(C20,I20,O20,U20,AA20,AG20,AM20,AS20,AY20,BE20)</f>
        <v>21</v>
      </c>
      <c r="BL20" s="5" t="n">
        <f aca="false">AVERAGE(D20,J20,P20,V20,AB20,AH20,AN20,AT20,AZ20,BF20)</f>
        <v>21</v>
      </c>
      <c r="BM20" s="5" t="n">
        <f aca="false">AVERAGE(,E20,K20,Q20,W20,AC20,AI20,AO20,AU20,BA20,BG20)</f>
        <v>14.0909090909091</v>
      </c>
      <c r="BN20" s="5" t="n">
        <f aca="false">AVERAGE(F20,L20,R20,X20,AD20,AJ20,AP20,AV20,BB20,BH20)</f>
        <v>18.5</v>
      </c>
      <c r="BO20" s="5" t="n">
        <f aca="false">AVERAGE(G20,M20,S20,Y20,AE20,AK20,AQ20,AW20,BC20,BI20)</f>
        <v>24</v>
      </c>
      <c r="BQ20" s="5" t="n">
        <f aca="false">_xlfn.STDEV.P(C20,I20,O20,U20,AA20,AG20,AM20,AS20,AY20,BE20)</f>
        <v>2</v>
      </c>
      <c r="BR20" s="5" t="n">
        <f aca="false">_xlfn.STDEV.P(D20,J20,P20,V20,AB20,AH20,AN20,AT20,AZ20,BF20)</f>
        <v>2</v>
      </c>
      <c r="BS20" s="5" t="n">
        <f aca="false">_xlfn.STDEV.P(,E20,K20,Q20,W20,AC20,AI20,AO20,AU20,BA20,BG20)</f>
        <v>5.1425947722658</v>
      </c>
      <c r="BT20" s="5" t="n">
        <f aca="false">_xlfn.STDEV.P(F20,L20,R20,X20,AD20,AJ20,AP20,AV20,BB20,BH20)</f>
        <v>2.29128784747792</v>
      </c>
      <c r="BU20" s="5" t="n">
        <f aca="false">_xlfn.STDEV.P(G20,M20,S20,Y20,AE20,AK20,AQ20,AW20,BC20,BI20)</f>
        <v>4.35889894354067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15</v>
      </c>
      <c r="D21" s="5" t="n">
        <v>15</v>
      </c>
      <c r="E21" s="5" t="n">
        <v>15</v>
      </c>
      <c r="F21" s="5" t="n">
        <v>20</v>
      </c>
      <c r="G21" s="5" t="n">
        <v>35</v>
      </c>
      <c r="H21" s="5"/>
      <c r="I21" s="5" t="n">
        <v>15</v>
      </c>
      <c r="J21" s="5" t="n">
        <v>25</v>
      </c>
      <c r="K21" s="5" t="n">
        <v>15</v>
      </c>
      <c r="L21" s="5" t="n">
        <v>20</v>
      </c>
      <c r="M21" s="5" t="n">
        <v>25</v>
      </c>
      <c r="N21" s="5"/>
      <c r="O21" s="5" t="n">
        <v>20</v>
      </c>
      <c r="P21" s="5" t="n">
        <v>20</v>
      </c>
      <c r="Q21" s="5" t="n">
        <v>10</v>
      </c>
      <c r="R21" s="5" t="n">
        <v>20</v>
      </c>
      <c r="S21" s="5" t="n">
        <v>30</v>
      </c>
      <c r="T21" s="5"/>
      <c r="U21" s="5" t="n">
        <v>10</v>
      </c>
      <c r="V21" s="5" t="n">
        <v>20</v>
      </c>
      <c r="W21" s="5" t="n">
        <v>10</v>
      </c>
      <c r="X21" s="5" t="n">
        <v>30</v>
      </c>
      <c r="Y21" s="5" t="n">
        <v>30</v>
      </c>
      <c r="Z21" s="5"/>
      <c r="AA21" s="5" t="n">
        <v>15</v>
      </c>
      <c r="AB21" s="5" t="n">
        <v>20</v>
      </c>
      <c r="AC21" s="5" t="n">
        <v>15</v>
      </c>
      <c r="AD21" s="5" t="n">
        <v>25</v>
      </c>
      <c r="AE21" s="5" t="n">
        <v>25</v>
      </c>
      <c r="AF21" s="5"/>
      <c r="AG21" s="5" t="n">
        <v>10</v>
      </c>
      <c r="AH21" s="5" t="n">
        <v>15</v>
      </c>
      <c r="AI21" s="5" t="n">
        <v>20</v>
      </c>
      <c r="AJ21" s="5" t="n">
        <v>25</v>
      </c>
      <c r="AK21" s="5" t="n">
        <v>30</v>
      </c>
      <c r="AL21" s="5"/>
      <c r="AM21" s="5" t="n">
        <v>20</v>
      </c>
      <c r="AN21" s="5" t="n">
        <v>20</v>
      </c>
      <c r="AO21" s="5" t="n">
        <v>10</v>
      </c>
      <c r="AP21" s="5" t="n">
        <v>25</v>
      </c>
      <c r="AQ21" s="5" t="n">
        <v>25</v>
      </c>
      <c r="AR21" s="5"/>
      <c r="AS21" s="5" t="n">
        <v>20</v>
      </c>
      <c r="AT21" s="5" t="n">
        <v>20</v>
      </c>
      <c r="AU21" s="5" t="n">
        <v>10</v>
      </c>
      <c r="AV21" s="5" t="n">
        <v>20</v>
      </c>
      <c r="AW21" s="5" t="n">
        <v>30</v>
      </c>
      <c r="AX21" s="5"/>
      <c r="AY21" s="5" t="n">
        <v>10</v>
      </c>
      <c r="AZ21" s="5" t="n">
        <v>15</v>
      </c>
      <c r="BA21" s="5" t="n">
        <v>10</v>
      </c>
      <c r="BB21" s="5" t="n">
        <v>25</v>
      </c>
      <c r="BC21" s="5" t="n">
        <v>40</v>
      </c>
      <c r="BD21" s="5"/>
      <c r="BE21" s="5" t="n">
        <v>10</v>
      </c>
      <c r="BF21" s="5" t="n">
        <v>20</v>
      </c>
      <c r="BG21" s="5" t="n">
        <v>10</v>
      </c>
      <c r="BH21" s="5" t="n">
        <v>30</v>
      </c>
      <c r="BI21" s="5" t="n">
        <v>30</v>
      </c>
      <c r="BK21" s="5" t="n">
        <f aca="false">AVERAGE(C21,I21,O21,U21,AA21,AG21,AM21,AS21,AY21,BE21)</f>
        <v>14.5</v>
      </c>
      <c r="BL21" s="5" t="n">
        <f aca="false">AVERAGE(D21,J21,P21,V21,AB21,AH21,AN21,AT21,AZ21,BF21)</f>
        <v>19</v>
      </c>
      <c r="BM21" s="5" t="n">
        <f aca="false">AVERAGE(,E21,K21,Q21,W21,AC21,AI21,AO21,AU21,BA21,BG21)</f>
        <v>11.3636363636364</v>
      </c>
      <c r="BN21" s="5" t="n">
        <f aca="false">AVERAGE(F21,L21,R21,X21,AD21,AJ21,AP21,AV21,BB21,BH21)</f>
        <v>24</v>
      </c>
      <c r="BO21" s="5" t="n">
        <f aca="false">AVERAGE(G21,M21,S21,Y21,AE21,AK21,AQ21,AW21,BC21,BI21)</f>
        <v>30</v>
      </c>
      <c r="BQ21" s="5" t="n">
        <f aca="false">_xlfn.STDEV.P(C21,I21,O21,U21,AA21,AG21,AM21,AS21,AY21,BE21)</f>
        <v>4.15331193145904</v>
      </c>
      <c r="BR21" s="5" t="n">
        <f aca="false">_xlfn.STDEV.P(D21,J21,P21,V21,AB21,AH21,AN21,AT21,AZ21,BF21)</f>
        <v>3</v>
      </c>
      <c r="BS21" s="5" t="n">
        <f aca="false">_xlfn.STDEV.P(,E21,K21,Q21,W21,AC21,AI21,AO21,AU21,BA21,BG21)</f>
        <v>4.81045692920835</v>
      </c>
      <c r="BT21" s="5" t="n">
        <f aca="false">_xlfn.STDEV.P(F21,L21,R21,X21,AD21,AJ21,AP21,AV21,BB21,BH21)</f>
        <v>3.74165738677394</v>
      </c>
      <c r="BU21" s="5" t="n">
        <f aca="false">_xlfn.STDEV.P(G21,M21,S21,Y21,AE21,AK21,AQ21,AW21,BC21,BI21)</f>
        <v>4.47213595499958</v>
      </c>
    </row>
    <row r="23" customFormat="false" ht="12.8" hidden="false" customHeight="false" outlineLevel="0" collapsed="false">
      <c r="C23" s="5" t="n">
        <f aca="false">AVERAGE(C2:C21)</f>
        <v>17.5</v>
      </c>
      <c r="D23" s="5" t="n">
        <f aca="false">AVERAGE(D2:D21)</f>
        <v>20</v>
      </c>
      <c r="E23" s="5" t="n">
        <f aca="false">AVERAGE(E2:E21)</f>
        <v>17</v>
      </c>
      <c r="F23" s="5" t="n">
        <f aca="false">AVERAGE(F2:F21)</f>
        <v>18</v>
      </c>
      <c r="G23" s="5" t="n">
        <f aca="false">AVERAGE(G2:G21)</f>
        <v>27.5</v>
      </c>
      <c r="H23" s="5"/>
      <c r="I23" s="5" t="n">
        <f aca="false">AVERAGE(I2:I21)</f>
        <v>16.5</v>
      </c>
      <c r="J23" s="5" t="n">
        <f aca="false">AVERAGE(J2:J21)</f>
        <v>21.25</v>
      </c>
      <c r="K23" s="5" t="n">
        <f aca="false">AVERAGE(K2:K21)</f>
        <v>16.5</v>
      </c>
      <c r="L23" s="5" t="n">
        <f aca="false">AVERAGE(L2:L21)</f>
        <v>17.25</v>
      </c>
      <c r="M23" s="5" t="n">
        <f aca="false">AVERAGE(M2:M21)</f>
        <v>28.5</v>
      </c>
      <c r="N23" s="5"/>
      <c r="O23" s="5" t="n">
        <f aca="false">AVERAGE(O2:O21)</f>
        <v>17.5</v>
      </c>
      <c r="P23" s="5" t="n">
        <f aca="false">AVERAGE(P2:P21)</f>
        <v>21.5</v>
      </c>
      <c r="Q23" s="5" t="n">
        <f aca="false">AVERAGE(Q2:Q21)</f>
        <v>14</v>
      </c>
      <c r="R23" s="5" t="n">
        <f aca="false">AVERAGE(R2:R21)</f>
        <v>18.5</v>
      </c>
      <c r="S23" s="5" t="n">
        <f aca="false">AVERAGE(S2:S21)</f>
        <v>28.5</v>
      </c>
      <c r="T23" s="5"/>
      <c r="U23" s="5" t="n">
        <f aca="false">AVERAGE(U2:U21)</f>
        <v>17.25</v>
      </c>
      <c r="V23" s="5" t="n">
        <f aca="false">AVERAGE(V2:V21)</f>
        <v>22.25</v>
      </c>
      <c r="W23" s="5" t="n">
        <f aca="false">AVERAGE(W2:W21)</f>
        <v>15.75</v>
      </c>
      <c r="X23" s="5" t="n">
        <f aca="false">AVERAGE(X2:X21)</f>
        <v>19.5</v>
      </c>
      <c r="Y23" s="5" t="n">
        <f aca="false">AVERAGE(Y2:Y21)</f>
        <v>25.25</v>
      </c>
      <c r="Z23" s="5" t="e">
        <f aca="false">AVERAGE(Z2:Z21)</f>
        <v>#DIV/0!</v>
      </c>
      <c r="AA23" s="5" t="n">
        <f aca="false">AVERAGE(AA2:AA21)</f>
        <v>17</v>
      </c>
      <c r="AB23" s="5" t="n">
        <f aca="false">AVERAGE(AB2:AB21)</f>
        <v>21.5</v>
      </c>
      <c r="AC23" s="5" t="n">
        <f aca="false">AVERAGE(AC2:AC21)</f>
        <v>15</v>
      </c>
      <c r="AD23" s="5" t="n">
        <f aca="false">AVERAGE(AD2:AD21)</f>
        <v>19</v>
      </c>
      <c r="AE23" s="5" t="n">
        <f aca="false">AVERAGE(AE2:AE21)</f>
        <v>27.5</v>
      </c>
      <c r="AF23" s="5"/>
      <c r="AG23" s="5" t="n">
        <f aca="false">AVERAGE(AG2:AG21)</f>
        <v>16</v>
      </c>
      <c r="AH23" s="5" t="n">
        <f aca="false">AVERAGE(AH2:AH21)</f>
        <v>20.75</v>
      </c>
      <c r="AI23" s="5" t="n">
        <f aca="false">AVERAGE(AI2:AI21)</f>
        <v>15.25</v>
      </c>
      <c r="AJ23" s="5" t="n">
        <f aca="false">AVERAGE(AJ2:AJ21)</f>
        <v>19.25</v>
      </c>
      <c r="AK23" s="5" t="n">
        <f aca="false">AVERAGE(AK2:AK21)</f>
        <v>28.75</v>
      </c>
      <c r="AL23" s="5"/>
      <c r="AM23" s="5" t="n">
        <f aca="false">AVERAGE(AM2:AM21)</f>
        <v>17.25</v>
      </c>
      <c r="AN23" s="5" t="n">
        <f aca="false">AVERAGE(AN2:AN21)</f>
        <v>21.5</v>
      </c>
      <c r="AO23" s="5" t="n">
        <f aca="false">AVERAGE(AO2:AO21)</f>
        <v>14.75</v>
      </c>
      <c r="AP23" s="5" t="n">
        <f aca="false">AVERAGE(AP2:AP21)</f>
        <v>20</v>
      </c>
      <c r="AQ23" s="5" t="n">
        <f aca="false">AVERAGE(AQ2:AQ21)</f>
        <v>26.5</v>
      </c>
      <c r="AR23" s="5"/>
      <c r="AS23" s="5" t="n">
        <f aca="false">AVERAGE(AS2:AS21)</f>
        <v>18.25</v>
      </c>
      <c r="AT23" s="5" t="n">
        <f aca="false">AVERAGE(AT2:AT21)</f>
        <v>21.75</v>
      </c>
      <c r="AU23" s="5" t="n">
        <f aca="false">AVERAGE(AU2:AU21)</f>
        <v>15.5</v>
      </c>
      <c r="AV23" s="5" t="n">
        <f aca="false">AVERAGE(AV2:AV21)</f>
        <v>18.25</v>
      </c>
      <c r="AW23" s="5" t="n">
        <f aca="false">AVERAGE(AW2:AW21)</f>
        <v>26.25</v>
      </c>
      <c r="AX23" s="5"/>
      <c r="AY23" s="5" t="n">
        <f aca="false">AVERAGE(AY2:AY21)</f>
        <v>16.25</v>
      </c>
      <c r="AZ23" s="5" t="n">
        <f aca="false">AVERAGE(AZ2:AZ21)</f>
        <v>20.25</v>
      </c>
      <c r="BA23" s="5" t="n">
        <f aca="false">AVERAGE(BA2:BA21)</f>
        <v>14.25</v>
      </c>
      <c r="BB23" s="5" t="n">
        <f aca="false">AVERAGE(BB2:BB21)</f>
        <v>20.5</v>
      </c>
      <c r="BC23" s="5" t="n">
        <f aca="false">AVERAGE(BC2:BC21)</f>
        <v>28.75</v>
      </c>
      <c r="BD23" s="5"/>
      <c r="BE23" s="5" t="n">
        <f aca="false">AVERAGE(BE2:BE21)</f>
        <v>17</v>
      </c>
      <c r="BF23" s="5" t="n">
        <f aca="false">AVERAGE(BF2:BF21)</f>
        <v>22</v>
      </c>
      <c r="BG23" s="5" t="n">
        <f aca="false">AVERAGE(BG2:BG21)</f>
        <v>15.75</v>
      </c>
      <c r="BH23" s="5" t="n">
        <f aca="false">AVERAGE(BH2:BH21)</f>
        <v>18.75</v>
      </c>
      <c r="BI23" s="5" t="n">
        <f aca="false">AVERAGE(BI2:BI21)</f>
        <v>26.5</v>
      </c>
    </row>
    <row r="25" customFormat="false" ht="12.8" hidden="false" customHeight="false" outlineLevel="0" collapsed="false">
      <c r="A25" s="7" t="s">
        <v>38</v>
      </c>
      <c r="B25" s="8" t="s">
        <v>53</v>
      </c>
      <c r="C25" s="9" t="n">
        <f aca="false">AVERAGE(C2:C21,I2:I21,O2:O21,U2:U21,AA2:AA21,AG2:AG21,AM2:AM21,AS2:AS21,AY2:AY21,BE2:BE21)</f>
        <v>17.05</v>
      </c>
    </row>
    <row r="26" customFormat="false" ht="12.8" hidden="false" customHeight="false" outlineLevel="0" collapsed="false">
      <c r="A26" s="7" t="s">
        <v>39</v>
      </c>
      <c r="B26" s="8" t="s">
        <v>54</v>
      </c>
      <c r="C26" s="9" t="n">
        <f aca="false">AVERAGE(D2:D21,J2:J21,P2:P21,V2:V21,AB2:AB21,AH2:AH21,AN2:AN21,AT2:AT21,AZ2:AZ21,BF2:BF21)</f>
        <v>21.275</v>
      </c>
    </row>
    <row r="27" customFormat="false" ht="12.8" hidden="false" customHeight="false" outlineLevel="0" collapsed="false">
      <c r="A27" s="7" t="s">
        <v>40</v>
      </c>
      <c r="B27" s="8" t="s">
        <v>55</v>
      </c>
      <c r="C27" s="9" t="n">
        <f aca="false">AVERAGE(E2:E21,K2:K21,Q2:Q21,W2:W21,AC2:AC21,AI2:AI21,AO2:AO21,AU2:AU21,BA2:BA21,BG2:BG21)</f>
        <v>15.375</v>
      </c>
    </row>
    <row r="28" customFormat="false" ht="12.8" hidden="false" customHeight="false" outlineLevel="0" collapsed="false">
      <c r="A28" s="7" t="s">
        <v>41</v>
      </c>
      <c r="B28" s="8" t="s">
        <v>56</v>
      </c>
      <c r="C28" s="9" t="n">
        <f aca="false">AVERAGE(F2:F21,L2:L21,R2:R21,X2:X21,AD2:AD21,AJ2:AJ21,AP2:AP21,AV2:AV21,BB2:BB21,BH2:BH21)</f>
        <v>18.9</v>
      </c>
    </row>
    <row r="29" customFormat="false" ht="12.8" hidden="false" customHeight="false" outlineLevel="0" collapsed="false">
      <c r="A29" s="7" t="s">
        <v>42</v>
      </c>
      <c r="B29" s="8" t="s">
        <v>57</v>
      </c>
      <c r="C29" s="9" t="n">
        <f aca="false">AVERAGE(G2:G21,M2:M21,S2:S21,Y2:Y21,AE2:AE21,AK2:AK21,AQ2:AQ21,AW2:AW21,BC2:BC21,BI2:BI21)</f>
        <v>27.4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40.2"/>
    <col collapsed="false" customWidth="true" hidden="false" outlineLevel="0" max="13" min="13" style="1" width="40.76"/>
    <col collapsed="false" customWidth="true" hidden="false" outlineLevel="0" max="14" min="14" style="1" width="13.91"/>
    <col collapsed="false" customWidth="true" hidden="false" outlineLevel="0" max="15" min="15" style="1" width="17.69"/>
    <col collapsed="false" customWidth="true" hidden="false" outlineLevel="0" max="16" min="16" style="1" width="20.47"/>
    <col collapsed="false" customWidth="true" hidden="false" outlineLevel="0" max="18" min="18" style="1" width="21.26"/>
    <col collapsed="false" customWidth="true" hidden="false" outlineLevel="0" max="19" min="19" style="1" width="18.48"/>
    <col collapsed="false" customWidth="true" hidden="false" outlineLevel="0" max="20" min="20" style="1" width="20.2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3" t="s">
        <v>12</v>
      </c>
      <c r="O1" s="3" t="s">
        <v>13</v>
      </c>
      <c r="P1" s="3" t="s">
        <v>14</v>
      </c>
      <c r="R1" s="3" t="s">
        <v>15</v>
      </c>
      <c r="S1" s="3" t="s">
        <v>16</v>
      </c>
      <c r="T1" s="3" t="s">
        <v>17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55</v>
      </c>
      <c r="D2" s="5" t="n">
        <v>60</v>
      </c>
      <c r="E2" s="5" t="n">
        <v>62</v>
      </c>
      <c r="F2" s="5" t="n">
        <v>55</v>
      </c>
      <c r="G2" s="5" t="n">
        <v>65</v>
      </c>
      <c r="H2" s="5" t="n">
        <v>55</v>
      </c>
      <c r="I2" s="5" t="n">
        <v>68</v>
      </c>
      <c r="J2" s="5" t="n">
        <v>65</v>
      </c>
      <c r="K2" s="5" t="n">
        <v>55</v>
      </c>
      <c r="L2" s="5" t="n">
        <v>60</v>
      </c>
      <c r="N2" s="5" t="n">
        <f aca="false">AVERAGE(C2:L2)</f>
        <v>60</v>
      </c>
      <c r="O2" s="5" t="n">
        <f aca="false">ROUND(_xlfn.STDEV.P(C2:L2),4)</f>
        <v>4.669</v>
      </c>
      <c r="P2" s="5" t="n">
        <f aca="false">ROUND(IF(N2=0, 0, O2/N2),4)</f>
        <v>0.0778</v>
      </c>
      <c r="R2" s="5" t="n">
        <f aca="false">AVERAGE(P2:P21)</f>
        <v>0.168585</v>
      </c>
      <c r="S2" s="5" t="n">
        <f aca="false">MAX(P3:P21)</f>
        <v>1.0325</v>
      </c>
      <c r="T2" s="5" t="n">
        <f aca="false">_xlfn.STDEV.P(P2:P21)</f>
        <v>0.240129929985831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70</v>
      </c>
      <c r="D3" s="5" t="n">
        <v>72</v>
      </c>
      <c r="E3" s="5" t="n">
        <v>70</v>
      </c>
      <c r="F3" s="5" t="n">
        <v>68</v>
      </c>
      <c r="G3" s="5" t="n">
        <v>70</v>
      </c>
      <c r="H3" s="5" t="n">
        <v>70</v>
      </c>
      <c r="I3" s="5" t="n">
        <v>75</v>
      </c>
      <c r="J3" s="5" t="n">
        <v>72</v>
      </c>
      <c r="K3" s="5" t="n">
        <v>80</v>
      </c>
      <c r="L3" s="5" t="n">
        <v>70</v>
      </c>
      <c r="N3" s="5" t="n">
        <f aca="false">AVERAGE(C3:L3)</f>
        <v>71.7</v>
      </c>
      <c r="O3" s="5" t="n">
        <f aca="false">ROUND(_xlfn.STDEV.P(C3:L3),4)</f>
        <v>3.2879</v>
      </c>
      <c r="P3" s="5" t="n">
        <f aca="false">ROUND(IF(N3=0, 0, O3/N3),4)</f>
        <v>0.0459</v>
      </c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35</v>
      </c>
      <c r="D4" s="5" t="n">
        <v>45</v>
      </c>
      <c r="E4" s="5" t="n">
        <v>42</v>
      </c>
      <c r="F4" s="5" t="n">
        <v>45</v>
      </c>
      <c r="G4" s="5" t="n">
        <v>48</v>
      </c>
      <c r="H4" s="5" t="n">
        <v>58</v>
      </c>
      <c r="I4" s="5" t="n">
        <v>35</v>
      </c>
      <c r="J4" s="5" t="n">
        <v>42</v>
      </c>
      <c r="K4" s="5" t="n">
        <v>42</v>
      </c>
      <c r="L4" s="5" t="n">
        <v>42</v>
      </c>
      <c r="N4" s="5" t="n">
        <f aca="false">AVERAGE(C4:L4)</f>
        <v>43.4</v>
      </c>
      <c r="O4" s="5" t="n">
        <f aca="false">ROUND(_xlfn.STDEV.P(C4:L4),4)</f>
        <v>6.2322</v>
      </c>
      <c r="P4" s="5" t="n">
        <f aca="false">ROUND(IF(N4=0, 0, O4/N4),4)</f>
        <v>0.1436</v>
      </c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65</v>
      </c>
      <c r="D5" s="5" t="n">
        <v>62</v>
      </c>
      <c r="E5" s="5" t="n">
        <v>72</v>
      </c>
      <c r="F5" s="5" t="n">
        <v>68</v>
      </c>
      <c r="G5" s="5" t="n">
        <v>68</v>
      </c>
      <c r="H5" s="5" t="n">
        <v>68</v>
      </c>
      <c r="I5" s="5" t="n">
        <v>68</v>
      </c>
      <c r="J5" s="5" t="n">
        <v>62</v>
      </c>
      <c r="K5" s="5" t="n">
        <v>70</v>
      </c>
      <c r="L5" s="5" t="n">
        <v>62</v>
      </c>
      <c r="N5" s="5" t="n">
        <f aca="false">AVERAGE(C5:L5)</f>
        <v>66.5</v>
      </c>
      <c r="O5" s="5" t="n">
        <f aca="false">ROUND(_xlfn.STDEV.P(C5:L5),4)</f>
        <v>3.3838</v>
      </c>
      <c r="P5" s="5" t="n">
        <f aca="false">ROUND(IF(N5=0, 0, O5/N5),4)</f>
        <v>0.0509</v>
      </c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60</v>
      </c>
      <c r="D6" s="5" t="n">
        <v>60</v>
      </c>
      <c r="E6" s="5" t="n">
        <v>50</v>
      </c>
      <c r="F6" s="5" t="n">
        <v>60</v>
      </c>
      <c r="G6" s="5" t="n">
        <v>50</v>
      </c>
      <c r="H6" s="5" t="n">
        <v>60</v>
      </c>
      <c r="I6" s="5" t="n">
        <v>60</v>
      </c>
      <c r="J6" s="5" t="n">
        <v>50</v>
      </c>
      <c r="K6" s="5" t="n">
        <v>65</v>
      </c>
      <c r="L6" s="5" t="n">
        <v>50</v>
      </c>
      <c r="N6" s="5" t="n">
        <f aca="false">AVERAGE(C6:L6)</f>
        <v>56.5</v>
      </c>
      <c r="O6" s="5" t="n">
        <f aca="false">ROUND(_xlfn.STDEV.P(C6:L6),4)</f>
        <v>5.5</v>
      </c>
      <c r="P6" s="5" t="n">
        <f aca="false">ROUND(IF(N6=0, 0, O6/N6),4)</f>
        <v>0.0973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60</v>
      </c>
      <c r="D7" s="5" t="n">
        <v>65</v>
      </c>
      <c r="E7" s="5" t="n">
        <v>62</v>
      </c>
      <c r="F7" s="5" t="n">
        <v>65</v>
      </c>
      <c r="G7" s="5" t="n">
        <v>58</v>
      </c>
      <c r="H7" s="5" t="n">
        <v>58</v>
      </c>
      <c r="I7" s="5" t="n">
        <v>68</v>
      </c>
      <c r="J7" s="5" t="n">
        <v>58</v>
      </c>
      <c r="K7" s="5" t="n">
        <v>66</v>
      </c>
      <c r="L7" s="5" t="n">
        <v>66</v>
      </c>
      <c r="N7" s="5" t="n">
        <f aca="false">AVERAGE(C7:L7)</f>
        <v>62.6</v>
      </c>
      <c r="O7" s="5" t="n">
        <f aca="false">ROUND(_xlfn.STDEV.P(C7:L7),4)</f>
        <v>3.6661</v>
      </c>
      <c r="P7" s="5" t="n">
        <f aca="false">ROUND(IF(N7=0, 0, O7/N7),4)</f>
        <v>0.0586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70</v>
      </c>
      <c r="D8" s="5" t="n">
        <v>68</v>
      </c>
      <c r="E8" s="5" t="n">
        <v>65</v>
      </c>
      <c r="F8" s="5" t="n">
        <v>65</v>
      </c>
      <c r="G8" s="5" t="n">
        <v>65</v>
      </c>
      <c r="H8" s="5" t="n">
        <v>58</v>
      </c>
      <c r="I8" s="5" t="n">
        <v>65</v>
      </c>
      <c r="J8" s="5" t="n">
        <v>65</v>
      </c>
      <c r="K8" s="5" t="n">
        <v>62</v>
      </c>
      <c r="L8" s="5" t="n">
        <v>65</v>
      </c>
      <c r="N8" s="5" t="n">
        <f aca="false">AVERAGE(C8:L8)</f>
        <v>64.8</v>
      </c>
      <c r="O8" s="5" t="n">
        <f aca="false">ROUND(_xlfn.STDEV.P(C8:L8),4)</f>
        <v>3.0265</v>
      </c>
      <c r="P8" s="5" t="n">
        <f aca="false">ROUND(IF(N8=0, 0, O8/N8),4)</f>
        <v>0.0467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50</v>
      </c>
      <c r="D9" s="5" t="n">
        <v>60</v>
      </c>
      <c r="E9" s="5" t="n">
        <v>60</v>
      </c>
      <c r="F9" s="5" t="n">
        <v>65</v>
      </c>
      <c r="G9" s="5" t="n">
        <v>65</v>
      </c>
      <c r="H9" s="5" t="n">
        <v>50</v>
      </c>
      <c r="I9" s="5" t="n">
        <v>55</v>
      </c>
      <c r="J9" s="5" t="n">
        <v>65</v>
      </c>
      <c r="K9" s="5" t="n">
        <v>65</v>
      </c>
      <c r="L9" s="5" t="n">
        <v>65</v>
      </c>
      <c r="N9" s="5" t="n">
        <f aca="false">AVERAGE(C9:L9)</f>
        <v>60</v>
      </c>
      <c r="O9" s="5" t="n">
        <f aca="false">ROUND(_xlfn.STDEV.P(C9:L9),4)</f>
        <v>5.9161</v>
      </c>
      <c r="P9" s="5" t="n">
        <f aca="false">ROUND(IF(N9=0, 0, O9/N9),4)</f>
        <v>0.0986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35</v>
      </c>
      <c r="D10" s="5" t="n">
        <v>35</v>
      </c>
      <c r="E10" s="5" t="n">
        <v>30</v>
      </c>
      <c r="F10" s="5" t="n">
        <v>30</v>
      </c>
      <c r="G10" s="5" t="n">
        <v>35</v>
      </c>
      <c r="H10" s="5" t="n">
        <v>35</v>
      </c>
      <c r="I10" s="5" t="n">
        <v>35</v>
      </c>
      <c r="J10" s="5" t="n">
        <v>35</v>
      </c>
      <c r="K10" s="5" t="n">
        <v>35</v>
      </c>
      <c r="L10" s="5" t="n">
        <v>35</v>
      </c>
      <c r="N10" s="5" t="n">
        <f aca="false">AVERAGE(C10:L10)</f>
        <v>34</v>
      </c>
      <c r="O10" s="5" t="n">
        <f aca="false">ROUND(_xlfn.STDEV.P(C10:L10),4)</f>
        <v>2</v>
      </c>
      <c r="P10" s="5" t="n">
        <f aca="false">ROUND(IF(N10=0, 0, O10/N10),4)</f>
        <v>0.0588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30</v>
      </c>
      <c r="D11" s="5" t="n">
        <v>35</v>
      </c>
      <c r="E11" s="5" t="n">
        <v>35</v>
      </c>
      <c r="F11" s="5" t="n">
        <v>30</v>
      </c>
      <c r="G11" s="5" t="n">
        <v>30</v>
      </c>
      <c r="H11" s="5" t="n">
        <v>30</v>
      </c>
      <c r="I11" s="5" t="n">
        <v>25</v>
      </c>
      <c r="J11" s="5" t="n">
        <v>35</v>
      </c>
      <c r="K11" s="5" t="n">
        <v>30</v>
      </c>
      <c r="L11" s="5" t="n">
        <v>30</v>
      </c>
      <c r="N11" s="5" t="n">
        <f aca="false">AVERAGE(C11:L11)</f>
        <v>31</v>
      </c>
      <c r="O11" s="5" t="n">
        <f aca="false">ROUND(_xlfn.STDEV.P(C11:L11),4)</f>
        <v>3</v>
      </c>
      <c r="P11" s="5" t="n">
        <f aca="false">ROUND(IF(N11=0, 0, O11/N11),4)</f>
        <v>0.0968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10</v>
      </c>
      <c r="D12" s="5" t="n">
        <v>10</v>
      </c>
      <c r="E12" s="5" t="n">
        <v>10</v>
      </c>
      <c r="F12" s="5" t="n">
        <v>10</v>
      </c>
      <c r="G12" s="5" t="n">
        <v>10</v>
      </c>
      <c r="H12" s="5" t="n">
        <v>10</v>
      </c>
      <c r="I12" s="5" t="n">
        <v>10</v>
      </c>
      <c r="J12" s="5" t="n">
        <v>10</v>
      </c>
      <c r="K12" s="5" t="n">
        <v>10</v>
      </c>
      <c r="L12" s="5" t="n">
        <v>10</v>
      </c>
      <c r="N12" s="5" t="n">
        <f aca="false">AVERAGE(C12:L12)</f>
        <v>10</v>
      </c>
      <c r="O12" s="5" t="n">
        <f aca="false">ROUND(_xlfn.STDEV.P(C12:L12),4)</f>
        <v>0</v>
      </c>
      <c r="P12" s="5" t="n">
        <f aca="false">ROUND(IF(N12=0, 0, O12/N12),4)</f>
        <v>0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10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5</v>
      </c>
      <c r="I13" s="5" t="n">
        <v>10</v>
      </c>
      <c r="J13" s="5" t="n">
        <v>5</v>
      </c>
      <c r="K13" s="5" t="n">
        <v>10</v>
      </c>
      <c r="L13" s="5" t="n">
        <v>10</v>
      </c>
      <c r="N13" s="5" t="n">
        <f aca="false">AVERAGE(C13:L13)</f>
        <v>9</v>
      </c>
      <c r="O13" s="5" t="n">
        <f aca="false">ROUND(_xlfn.STDEV.P(C13:L13),4)</f>
        <v>2</v>
      </c>
      <c r="P13" s="5" t="n">
        <f aca="false">ROUND(IF(N13=0, 0, O13/N13),4)</f>
        <v>0.2222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15</v>
      </c>
      <c r="D14" s="5" t="n">
        <v>30</v>
      </c>
      <c r="E14" s="5" t="n">
        <v>15</v>
      </c>
      <c r="F14" s="5" t="n">
        <v>15</v>
      </c>
      <c r="G14" s="5" t="n">
        <v>20</v>
      </c>
      <c r="H14" s="5" t="n">
        <v>24</v>
      </c>
      <c r="I14" s="5" t="n">
        <v>15</v>
      </c>
      <c r="J14" s="5" t="n">
        <v>20</v>
      </c>
      <c r="K14" s="5" t="n">
        <v>15</v>
      </c>
      <c r="L14" s="5" t="n">
        <v>15</v>
      </c>
      <c r="N14" s="5" t="n">
        <f aca="false">AVERAGE(C14:L14)</f>
        <v>18.4</v>
      </c>
      <c r="O14" s="5" t="n">
        <f aca="false">ROUND(_xlfn.STDEV.P(C14:L14),4)</f>
        <v>4.9031</v>
      </c>
      <c r="P14" s="5" t="n">
        <f aca="false">ROUND(IF(N14=0, 0, O14/N14),4)</f>
        <v>0.2665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10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10</v>
      </c>
      <c r="I15" s="5" t="n">
        <v>10</v>
      </c>
      <c r="J15" s="5" t="n">
        <v>10</v>
      </c>
      <c r="K15" s="5" t="n">
        <v>10</v>
      </c>
      <c r="L15" s="5" t="n">
        <v>10</v>
      </c>
      <c r="N15" s="5" t="n">
        <f aca="false">AVERAGE(C15:L15)</f>
        <v>10</v>
      </c>
      <c r="O15" s="5" t="n">
        <f aca="false">ROUND(_xlfn.STDEV.P(C15:L15),4)</f>
        <v>0</v>
      </c>
      <c r="P15" s="5" t="n">
        <f aca="false">ROUND(IF(N15=0, 0, O15/N15),4)</f>
        <v>0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20</v>
      </c>
      <c r="D16" s="5" t="n">
        <v>10</v>
      </c>
      <c r="E16" s="5" t="n">
        <v>40</v>
      </c>
      <c r="F16" s="5" t="n">
        <v>10</v>
      </c>
      <c r="G16" s="5" t="n">
        <v>10</v>
      </c>
      <c r="H16" s="5" t="n">
        <v>10</v>
      </c>
      <c r="I16" s="5" t="n">
        <v>10</v>
      </c>
      <c r="J16" s="5" t="n">
        <v>0</v>
      </c>
      <c r="K16" s="5" t="n">
        <v>0</v>
      </c>
      <c r="L16" s="5" t="n">
        <v>0</v>
      </c>
      <c r="N16" s="5" t="n">
        <f aca="false">AVERAGE(C16:L16)</f>
        <v>11</v>
      </c>
      <c r="O16" s="5" t="n">
        <f aca="false">ROUND(_xlfn.STDEV.P(C16:L16),4)</f>
        <v>11.3578</v>
      </c>
      <c r="P16" s="5" t="n">
        <f aca="false">ROUND(IF(N16=0, 0, O16/N16),4)</f>
        <v>1.0325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30</v>
      </c>
      <c r="D17" s="5" t="n">
        <v>25</v>
      </c>
      <c r="E17" s="5" t="n">
        <v>20</v>
      </c>
      <c r="F17" s="5" t="n">
        <v>30</v>
      </c>
      <c r="G17" s="5" t="n">
        <v>20</v>
      </c>
      <c r="H17" s="5" t="n">
        <v>30</v>
      </c>
      <c r="I17" s="5" t="n">
        <v>25</v>
      </c>
      <c r="J17" s="5" t="n">
        <v>30</v>
      </c>
      <c r="K17" s="5" t="n">
        <v>20</v>
      </c>
      <c r="L17" s="5" t="n">
        <v>20</v>
      </c>
      <c r="N17" s="5" t="n">
        <f aca="false">AVERAGE(C17:L17)</f>
        <v>25</v>
      </c>
      <c r="O17" s="5" t="n">
        <f aca="false">ROUND(_xlfn.STDEV.P(C17:L17),4)</f>
        <v>4.4721</v>
      </c>
      <c r="P17" s="5" t="n">
        <f aca="false">ROUND(IF(N17=0, 0, O17/N17),4)</f>
        <v>0.1789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30</v>
      </c>
      <c r="D18" s="5" t="n">
        <v>20</v>
      </c>
      <c r="E18" s="5" t="n">
        <v>20</v>
      </c>
      <c r="F18" s="5" t="n">
        <v>30</v>
      </c>
      <c r="G18" s="5" t="n">
        <v>30</v>
      </c>
      <c r="H18" s="5" t="n">
        <v>20</v>
      </c>
      <c r="I18" s="5" t="n">
        <v>30</v>
      </c>
      <c r="J18" s="5" t="n">
        <v>30</v>
      </c>
      <c r="K18" s="5" t="n">
        <v>20</v>
      </c>
      <c r="L18" s="5" t="n">
        <v>20</v>
      </c>
      <c r="N18" s="5" t="n">
        <f aca="false">AVERAGE(C18:L18)</f>
        <v>25</v>
      </c>
      <c r="O18" s="5" t="n">
        <f aca="false">ROUND(_xlfn.STDEV.P(C18:L18),4)</f>
        <v>5</v>
      </c>
      <c r="P18" s="5" t="n">
        <f aca="false">ROUND(IF(N18=0, 0, O18/N18),4)</f>
        <v>0.2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50</v>
      </c>
      <c r="D19" s="5" t="n">
        <v>20</v>
      </c>
      <c r="E19" s="5" t="n">
        <v>50</v>
      </c>
      <c r="F19" s="5" t="n">
        <v>0</v>
      </c>
      <c r="G19" s="5" t="n">
        <v>20</v>
      </c>
      <c r="H19" s="5" t="n">
        <v>30</v>
      </c>
      <c r="I19" s="5" t="n">
        <v>20</v>
      </c>
      <c r="J19" s="5" t="n">
        <v>20</v>
      </c>
      <c r="K19" s="5" t="n">
        <v>20</v>
      </c>
      <c r="L19" s="5" t="n">
        <v>10</v>
      </c>
      <c r="N19" s="5" t="n">
        <f aca="false">AVERAGE(C19:L19)</f>
        <v>24</v>
      </c>
      <c r="O19" s="5" t="n">
        <f aca="false">ROUND(_xlfn.STDEV.P(C19:L19),4)</f>
        <v>14.9666</v>
      </c>
      <c r="P19" s="5" t="n">
        <f aca="false">ROUND(IF(N19=0, 0, O19/N19),4)</f>
        <v>0.6236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50</v>
      </c>
      <c r="D20" s="5" t="n">
        <v>50</v>
      </c>
      <c r="E20" s="5" t="n">
        <v>50</v>
      </c>
      <c r="F20" s="5" t="n">
        <v>50</v>
      </c>
      <c r="G20" s="5" t="n">
        <v>55</v>
      </c>
      <c r="H20" s="5" t="n">
        <v>60</v>
      </c>
      <c r="I20" s="5" t="n">
        <v>60</v>
      </c>
      <c r="J20" s="5" t="n">
        <v>55</v>
      </c>
      <c r="K20" s="5" t="n">
        <v>55</v>
      </c>
      <c r="L20" s="5" t="n">
        <v>50</v>
      </c>
      <c r="N20" s="5" t="n">
        <f aca="false">AVERAGE(C20:L20)</f>
        <v>53.5</v>
      </c>
      <c r="O20" s="5" t="n">
        <f aca="false">ROUND(_xlfn.STDEV.P(C20:L20),4)</f>
        <v>3.9051</v>
      </c>
      <c r="P20" s="5" t="n">
        <f aca="false">ROUND(IF(N20=0, 0, O20/N20),4)</f>
        <v>0.073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10</v>
      </c>
      <c r="D21" s="5" t="n">
        <v>10</v>
      </c>
      <c r="E21" s="5" t="n">
        <v>10</v>
      </c>
      <c r="F21" s="5" t="n">
        <v>10</v>
      </c>
      <c r="G21" s="5" t="n">
        <v>10</v>
      </c>
      <c r="H21" s="5" t="n">
        <v>10</v>
      </c>
      <c r="I21" s="5" t="n">
        <v>10</v>
      </c>
      <c r="J21" s="5" t="n">
        <v>10</v>
      </c>
      <c r="K21" s="5" t="n">
        <v>10</v>
      </c>
      <c r="L21" s="5" t="n">
        <v>10</v>
      </c>
      <c r="N21" s="5" t="n">
        <f aca="false">AVERAGE(C21:L21)</f>
        <v>10</v>
      </c>
      <c r="O21" s="5" t="n">
        <f aca="false">ROUND(_xlfn.STDEV.P(C21:L21),4)</f>
        <v>0</v>
      </c>
      <c r="P21" s="5" t="n">
        <f aca="false">ROUND(IF(N21=0, 0, O21/N21),4)</f>
        <v>0</v>
      </c>
    </row>
    <row r="23" customFormat="false" ht="12.8" hidden="false" customHeight="false" outlineLevel="0" collapsed="false">
      <c r="O23" s="5" t="n">
        <f aca="false">ROUND(AVERAGE(O2:O21),4)</f>
        <v>4.3643</v>
      </c>
      <c r="P23" s="5" t="n">
        <f aca="false">ROUND(AVERAGE(P2:P21),4)</f>
        <v>0.1686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U2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2" min="2" style="1" width="45.21"/>
    <col collapsed="false" customWidth="true" hidden="false" outlineLevel="0" max="7" min="3" style="1" width="3.89"/>
    <col collapsed="false" customWidth="true" hidden="false" outlineLevel="0" max="13" min="9" style="1" width="3.89"/>
    <col collapsed="false" customWidth="true" hidden="false" outlineLevel="0" max="19" min="15" style="1" width="3.89"/>
    <col collapsed="false" customWidth="true" hidden="false" outlineLevel="0" max="25" min="21" style="1" width="3.89"/>
    <col collapsed="false" customWidth="true" hidden="false" outlineLevel="0" max="31" min="27" style="1" width="3.89"/>
    <col collapsed="false" customWidth="true" hidden="false" outlineLevel="0" max="37" min="33" style="1" width="3.89"/>
    <col collapsed="false" customWidth="true" hidden="false" outlineLevel="0" max="43" min="39" style="1" width="3.89"/>
    <col collapsed="false" customWidth="true" hidden="false" outlineLevel="0" max="49" min="45" style="1" width="3.89"/>
    <col collapsed="false" customWidth="true" hidden="false" outlineLevel="0" max="55" min="51" style="1" width="3.89"/>
    <col collapsed="false" customWidth="true" hidden="false" outlineLevel="0" max="61" min="57" style="1" width="3.89"/>
    <col collapsed="false" customWidth="true" hidden="false" outlineLevel="0" max="65" min="65" style="1" width="21.06"/>
    <col collapsed="false" customWidth="true" hidden="false" outlineLevel="0" max="69" min="69" style="1" width="21.26"/>
    <col collapsed="false" customWidth="true" hidden="false" outlineLevel="0" max="70" min="70" style="1" width="19.87"/>
    <col collapsed="false" customWidth="true" hidden="false" outlineLevel="0" max="71" min="71" style="1" width="22.65"/>
    <col collapsed="false" customWidth="true" hidden="false" outlineLevel="0" max="72" min="72" style="1" width="20.27"/>
    <col collapsed="false" customWidth="true" hidden="false" outlineLevel="0" max="73" min="73" style="1" width="19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/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/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/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/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/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/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/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/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/>
      <c r="BE1" s="3" t="s">
        <v>38</v>
      </c>
      <c r="BF1" s="3" t="s">
        <v>39</v>
      </c>
      <c r="BG1" s="3" t="s">
        <v>40</v>
      </c>
      <c r="BH1" s="3" t="s">
        <v>41</v>
      </c>
      <c r="BI1" s="3" t="s">
        <v>42</v>
      </c>
      <c r="BJ1" s="3"/>
      <c r="BK1" s="3" t="s">
        <v>43</v>
      </c>
      <c r="BL1" s="3" t="s">
        <v>44</v>
      </c>
      <c r="BM1" s="3" t="s">
        <v>45</v>
      </c>
      <c r="BN1" s="3" t="s">
        <v>46</v>
      </c>
      <c r="BO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30</v>
      </c>
      <c r="D2" s="5" t="n">
        <v>25</v>
      </c>
      <c r="E2" s="5" t="n">
        <v>10</v>
      </c>
      <c r="F2" s="5" t="n">
        <v>20</v>
      </c>
      <c r="G2" s="5" t="n">
        <v>15</v>
      </c>
      <c r="H2" s="5"/>
      <c r="I2" s="5" t="n">
        <v>30</v>
      </c>
      <c r="J2" s="5" t="n">
        <v>25</v>
      </c>
      <c r="K2" s="5" t="n">
        <v>15</v>
      </c>
      <c r="L2" s="5" t="n">
        <v>15</v>
      </c>
      <c r="M2" s="5" t="n">
        <v>15</v>
      </c>
      <c r="N2" s="5"/>
      <c r="O2" s="5" t="n">
        <v>30</v>
      </c>
      <c r="P2" s="5" t="n">
        <v>25</v>
      </c>
      <c r="Q2" s="5" t="n">
        <v>15</v>
      </c>
      <c r="R2" s="5" t="n">
        <v>15</v>
      </c>
      <c r="S2" s="5" t="n">
        <v>15</v>
      </c>
      <c r="T2" s="5"/>
      <c r="U2" s="5" t="n">
        <v>30</v>
      </c>
      <c r="V2" s="5" t="n">
        <v>25</v>
      </c>
      <c r="W2" s="5" t="n">
        <v>10</v>
      </c>
      <c r="X2" s="5" t="n">
        <v>15</v>
      </c>
      <c r="Y2" s="5" t="n">
        <v>20</v>
      </c>
      <c r="Z2" s="5"/>
      <c r="AA2" s="5" t="n">
        <v>30</v>
      </c>
      <c r="AB2" s="5" t="n">
        <v>25</v>
      </c>
      <c r="AC2" s="5" t="n">
        <v>10</v>
      </c>
      <c r="AD2" s="5" t="n">
        <v>15</v>
      </c>
      <c r="AE2" s="5" t="n">
        <v>20</v>
      </c>
      <c r="AF2" s="5"/>
      <c r="AG2" s="5" t="n">
        <v>30</v>
      </c>
      <c r="AH2" s="5" t="n">
        <v>25</v>
      </c>
      <c r="AI2" s="5" t="n">
        <v>10</v>
      </c>
      <c r="AJ2" s="5" t="n">
        <v>20</v>
      </c>
      <c r="AK2" s="5" t="n">
        <v>15</v>
      </c>
      <c r="AL2" s="5"/>
      <c r="AM2" s="5" t="n">
        <v>30</v>
      </c>
      <c r="AN2" s="5" t="n">
        <v>25</v>
      </c>
      <c r="AO2" s="5" t="n">
        <v>10</v>
      </c>
      <c r="AP2" s="5" t="n">
        <v>15</v>
      </c>
      <c r="AQ2" s="5" t="n">
        <v>20</v>
      </c>
      <c r="AR2" s="5"/>
      <c r="AS2" s="5" t="n">
        <v>30</v>
      </c>
      <c r="AT2" s="5" t="n">
        <v>25</v>
      </c>
      <c r="AU2" s="5" t="n">
        <v>10</v>
      </c>
      <c r="AV2" s="5" t="n">
        <v>15</v>
      </c>
      <c r="AW2" s="5" t="n">
        <v>20</v>
      </c>
      <c r="AX2" s="5"/>
      <c r="AY2" s="5" t="n">
        <v>30</v>
      </c>
      <c r="AZ2" s="5" t="n">
        <v>25</v>
      </c>
      <c r="BA2" s="5" t="n">
        <v>10</v>
      </c>
      <c r="BB2" s="5" t="n">
        <v>15</v>
      </c>
      <c r="BC2" s="5" t="n">
        <v>20</v>
      </c>
      <c r="BD2" s="5"/>
      <c r="BE2" s="5" t="n">
        <v>30</v>
      </c>
      <c r="BF2" s="5" t="n">
        <v>25</v>
      </c>
      <c r="BG2" s="5" t="n">
        <v>15</v>
      </c>
      <c r="BH2" s="5" t="n">
        <v>20</v>
      </c>
      <c r="BI2" s="5" t="n">
        <v>10</v>
      </c>
      <c r="BK2" s="5" t="n">
        <f aca="false">AVERAGE(C2,I2,O2,U2,AA2,AG2,AM2,AS2,AY2,BE2)</f>
        <v>30</v>
      </c>
      <c r="BL2" s="5" t="n">
        <f aca="false">AVERAGE(D2,J2,P2,V2,AB2,AH2,AN2,AT2,AZ2,BF2)</f>
        <v>25</v>
      </c>
      <c r="BM2" s="5" t="n">
        <f aca="false">AVERAGE(,E2,K2,Q2,W2,AC2,AI2,AO2,AU2,BA2,BG2)</f>
        <v>10.4545454545455</v>
      </c>
      <c r="BN2" s="5" t="n">
        <f aca="false">AVERAGE(F2,L2,R2,X2,AD2,AJ2,AP2,AV2,BB2,BH2)</f>
        <v>16.5</v>
      </c>
      <c r="BO2" s="5" t="n">
        <f aca="false">AVERAGE(G2,M2,S2,Y2,AE2,AK2,AQ2,AW2,BC2,BI2)</f>
        <v>17</v>
      </c>
      <c r="BQ2" s="5" t="n">
        <f aca="false">_xlfn.STDEV.P(C2,I2,O2,U2,AA2,AG2,AM2,AS2,AY2,BE2)</f>
        <v>0</v>
      </c>
      <c r="BR2" s="5" t="n">
        <f aca="false">_xlfn.STDEV.P(D2,J2,P2,V2,AB2,AH2,AN2,AT2,AZ2,BF2)</f>
        <v>0</v>
      </c>
      <c r="BS2" s="5" t="n">
        <f aca="false">_xlfn.STDEV.P(,E2,K2,Q2,W2,AC2,AI2,AO2,AU2,BA2,BG2)</f>
        <v>3.96263540321879</v>
      </c>
      <c r="BT2" s="5" t="n">
        <f aca="false">_xlfn.STDEV.P(F2,L2,R2,X2,AD2,AJ2,AP2,AV2,BB2,BH2)</f>
        <v>2.29128784747792</v>
      </c>
      <c r="BU2" s="5" t="n">
        <f aca="false">_xlfn.STDEV.P(G2,M2,S2,Y2,AE2,AK2,AQ2,AW2,BC2,BI2)</f>
        <v>3.3166247903554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20</v>
      </c>
      <c r="D3" s="5" t="n">
        <v>20</v>
      </c>
      <c r="E3" s="5" t="n">
        <v>20</v>
      </c>
      <c r="F3" s="5" t="n">
        <v>20</v>
      </c>
      <c r="G3" s="5" t="n">
        <v>20</v>
      </c>
      <c r="H3" s="5"/>
      <c r="I3" s="5" t="n">
        <v>20</v>
      </c>
      <c r="J3" s="5" t="n">
        <v>20</v>
      </c>
      <c r="K3" s="5" t="n">
        <v>20</v>
      </c>
      <c r="L3" s="5" t="n">
        <v>20</v>
      </c>
      <c r="M3" s="5" t="n">
        <v>20</v>
      </c>
      <c r="N3" s="5"/>
      <c r="O3" s="5" t="n">
        <v>20</v>
      </c>
      <c r="P3" s="5" t="n">
        <v>20</v>
      </c>
      <c r="Q3" s="5" t="n">
        <v>20</v>
      </c>
      <c r="R3" s="5" t="n">
        <v>20</v>
      </c>
      <c r="S3" s="5" t="n">
        <v>20</v>
      </c>
      <c r="T3" s="5"/>
      <c r="U3" s="5" t="n">
        <v>20</v>
      </c>
      <c r="V3" s="5" t="n">
        <v>20</v>
      </c>
      <c r="W3" s="5" t="n">
        <v>20</v>
      </c>
      <c r="X3" s="5" t="n">
        <v>20</v>
      </c>
      <c r="Y3" s="5" t="n">
        <v>20</v>
      </c>
      <c r="Z3" s="5"/>
      <c r="AA3" s="5" t="n">
        <v>20</v>
      </c>
      <c r="AB3" s="5" t="n">
        <v>20</v>
      </c>
      <c r="AC3" s="5" t="n">
        <v>20</v>
      </c>
      <c r="AD3" s="5" t="n">
        <v>20</v>
      </c>
      <c r="AE3" s="5" t="n">
        <v>20</v>
      </c>
      <c r="AF3" s="5"/>
      <c r="AG3" s="5" t="n">
        <v>20</v>
      </c>
      <c r="AH3" s="5" t="n">
        <v>20</v>
      </c>
      <c r="AI3" s="5" t="n">
        <v>30</v>
      </c>
      <c r="AJ3" s="5" t="n">
        <v>10</v>
      </c>
      <c r="AK3" s="5" t="n">
        <v>20</v>
      </c>
      <c r="AL3" s="5"/>
      <c r="AM3" s="5" t="n">
        <v>20</v>
      </c>
      <c r="AN3" s="5" t="n">
        <v>20</v>
      </c>
      <c r="AO3" s="5" t="n">
        <v>25</v>
      </c>
      <c r="AP3" s="5" t="n">
        <v>15</v>
      </c>
      <c r="AQ3" s="5" t="n">
        <v>20</v>
      </c>
      <c r="AR3" s="5"/>
      <c r="AS3" s="5" t="n">
        <v>20</v>
      </c>
      <c r="AT3" s="5" t="n">
        <v>20</v>
      </c>
      <c r="AU3" s="5" t="n">
        <v>20</v>
      </c>
      <c r="AV3" s="5" t="n">
        <v>10</v>
      </c>
      <c r="AW3" s="5" t="n">
        <v>30</v>
      </c>
      <c r="AX3" s="5"/>
      <c r="AY3" s="5" t="n">
        <v>15</v>
      </c>
      <c r="AZ3" s="5" t="n">
        <v>20</v>
      </c>
      <c r="BA3" s="5" t="n">
        <v>25</v>
      </c>
      <c r="BB3" s="5" t="n">
        <v>15</v>
      </c>
      <c r="BC3" s="5" t="n">
        <v>25</v>
      </c>
      <c r="BD3" s="5"/>
      <c r="BE3" s="5" t="n">
        <v>20</v>
      </c>
      <c r="BF3" s="5" t="n">
        <v>20</v>
      </c>
      <c r="BG3" s="5" t="n">
        <v>20</v>
      </c>
      <c r="BH3" s="5" t="n">
        <v>20</v>
      </c>
      <c r="BI3" s="5" t="n">
        <v>20</v>
      </c>
      <c r="BK3" s="5" t="n">
        <f aca="false">AVERAGE(C3,I3,O3,U3,AA3,AG3,AM3,AS3,AY3,BE3)</f>
        <v>19.5</v>
      </c>
      <c r="BL3" s="5" t="n">
        <f aca="false">AVERAGE(D3,J3,P3,V3,AB3,AH3,AN3,AT3,AZ3,BF3)</f>
        <v>20</v>
      </c>
      <c r="BM3" s="5" t="n">
        <f aca="false">AVERAGE(,E3,K3,Q3,W3,AC3,AI3,AO3,AU3,BA3,BG3)</f>
        <v>20</v>
      </c>
      <c r="BN3" s="5" t="n">
        <f aca="false">AVERAGE(F3,L3,R3,X3,AD3,AJ3,AP3,AV3,BB3,BH3)</f>
        <v>17</v>
      </c>
      <c r="BO3" s="5" t="n">
        <f aca="false">AVERAGE(G3,M3,S3,Y3,AE3,AK3,AQ3,AW3,BC3,BI3)</f>
        <v>21.5</v>
      </c>
      <c r="BQ3" s="5" t="n">
        <f aca="false">_xlfn.STDEV.P(C3,I3,O3,U3,AA3,AG3,AM3,AS3,AY3,BE3)</f>
        <v>1.5</v>
      </c>
      <c r="BR3" s="5" t="n">
        <f aca="false">_xlfn.STDEV.P(D3,J3,P3,V3,AB3,AH3,AN3,AT3,AZ3,BF3)</f>
        <v>0</v>
      </c>
      <c r="BS3" s="5" t="n">
        <f aca="false">_xlfn.STDEV.P(,E3,K3,Q3,W3,AC3,AI3,AO3,AU3,BA3,BG3)</f>
        <v>7.07106781186548</v>
      </c>
      <c r="BT3" s="5" t="n">
        <f aca="false">_xlfn.STDEV.P(F3,L3,R3,X3,AD3,AJ3,AP3,AV3,BB3,BH3)</f>
        <v>4</v>
      </c>
      <c r="BU3" s="5" t="n">
        <f aca="false">_xlfn.STDEV.P(G3,M3,S3,Y3,AE3,AK3,AQ3,AW3,BC3,BI3)</f>
        <v>3.20156211871642</v>
      </c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20</v>
      </c>
      <c r="D4" s="5" t="n">
        <v>30</v>
      </c>
      <c r="E4" s="5" t="n">
        <v>10</v>
      </c>
      <c r="F4" s="5" t="n">
        <v>20</v>
      </c>
      <c r="G4" s="5" t="n">
        <v>20</v>
      </c>
      <c r="H4" s="5"/>
      <c r="I4" s="5" t="n">
        <v>20</v>
      </c>
      <c r="J4" s="5" t="n">
        <v>30</v>
      </c>
      <c r="K4" s="5" t="n">
        <v>10</v>
      </c>
      <c r="L4" s="5" t="n">
        <v>20</v>
      </c>
      <c r="M4" s="5" t="n">
        <v>20</v>
      </c>
      <c r="N4" s="5"/>
      <c r="O4" s="5" t="n">
        <v>20</v>
      </c>
      <c r="P4" s="5" t="n">
        <v>30</v>
      </c>
      <c r="Q4" s="5" t="n">
        <v>10</v>
      </c>
      <c r="R4" s="5" t="n">
        <v>20</v>
      </c>
      <c r="S4" s="5" t="n">
        <v>20</v>
      </c>
      <c r="T4" s="5"/>
      <c r="U4" s="5" t="n">
        <v>20</v>
      </c>
      <c r="V4" s="5" t="n">
        <v>30</v>
      </c>
      <c r="W4" s="5" t="n">
        <v>10</v>
      </c>
      <c r="X4" s="5" t="n">
        <v>20</v>
      </c>
      <c r="Y4" s="5" t="n">
        <v>20</v>
      </c>
      <c r="Z4" s="5"/>
      <c r="AA4" s="5" t="n">
        <v>20</v>
      </c>
      <c r="AB4" s="5" t="n">
        <v>30</v>
      </c>
      <c r="AC4" s="5" t="n">
        <v>10</v>
      </c>
      <c r="AD4" s="5" t="n">
        <v>20</v>
      </c>
      <c r="AE4" s="5" t="n">
        <v>20</v>
      </c>
      <c r="AF4" s="5"/>
      <c r="AG4" s="5" t="n">
        <v>20</v>
      </c>
      <c r="AH4" s="5" t="n">
        <v>30</v>
      </c>
      <c r="AI4" s="5" t="n">
        <v>10</v>
      </c>
      <c r="AJ4" s="5" t="n">
        <v>20</v>
      </c>
      <c r="AK4" s="5" t="n">
        <v>20</v>
      </c>
      <c r="AL4" s="5"/>
      <c r="AM4" s="5" t="n">
        <v>20</v>
      </c>
      <c r="AN4" s="5" t="n">
        <v>30</v>
      </c>
      <c r="AO4" s="5" t="n">
        <v>10</v>
      </c>
      <c r="AP4" s="5" t="n">
        <v>20</v>
      </c>
      <c r="AQ4" s="5" t="n">
        <v>20</v>
      </c>
      <c r="AR4" s="5"/>
      <c r="AS4" s="5" t="n">
        <v>20</v>
      </c>
      <c r="AT4" s="5" t="n">
        <v>30</v>
      </c>
      <c r="AU4" s="5" t="n">
        <v>10</v>
      </c>
      <c r="AV4" s="5" t="n">
        <v>20</v>
      </c>
      <c r="AW4" s="5" t="n">
        <v>20</v>
      </c>
      <c r="AX4" s="5"/>
      <c r="AY4" s="5" t="n">
        <v>20</v>
      </c>
      <c r="AZ4" s="5" t="n">
        <v>30</v>
      </c>
      <c r="BA4" s="5" t="n">
        <v>10</v>
      </c>
      <c r="BB4" s="5" t="n">
        <v>20</v>
      </c>
      <c r="BC4" s="5" t="n">
        <v>20</v>
      </c>
      <c r="BD4" s="5"/>
      <c r="BE4" s="5" t="n">
        <v>20</v>
      </c>
      <c r="BF4" s="5" t="n">
        <v>30</v>
      </c>
      <c r="BG4" s="5" t="n">
        <v>10</v>
      </c>
      <c r="BH4" s="5" t="n">
        <v>20</v>
      </c>
      <c r="BI4" s="5" t="n">
        <v>20</v>
      </c>
      <c r="BK4" s="5" t="n">
        <f aca="false">AVERAGE(C4,I4,O4,U4,AA4,AG4,AM4,AS4,AY4,BE4)</f>
        <v>20</v>
      </c>
      <c r="BL4" s="5" t="n">
        <f aca="false">AVERAGE(D4,J4,P4,V4,AB4,AH4,AN4,AT4,AZ4,BF4)</f>
        <v>30</v>
      </c>
      <c r="BM4" s="5" t="n">
        <f aca="false">AVERAGE(,E4,K4,Q4,W4,AC4,AI4,AO4,AU4,BA4,BG4)</f>
        <v>9.09090909090909</v>
      </c>
      <c r="BN4" s="5" t="n">
        <f aca="false">AVERAGE(F4,L4,R4,X4,AD4,AJ4,AP4,AV4,BB4,BH4)</f>
        <v>20</v>
      </c>
      <c r="BO4" s="5" t="n">
        <f aca="false">AVERAGE(G4,M4,S4,Y4,AE4,AK4,AQ4,AW4,BC4,BI4)</f>
        <v>20</v>
      </c>
      <c r="BQ4" s="5" t="n">
        <f aca="false">_xlfn.STDEV.P(C4,I4,O4,U4,AA4,AG4,AM4,AS4,AY4,BE4)</f>
        <v>0</v>
      </c>
      <c r="BR4" s="5" t="n">
        <f aca="false">_xlfn.STDEV.P(D4,J4,P4,V4,AB4,AH4,AN4,AT4,AZ4,BF4)</f>
        <v>0</v>
      </c>
      <c r="BS4" s="5" t="n">
        <f aca="false">_xlfn.STDEV.P(,E4,K4,Q4,W4,AC4,AI4,AO4,AU4,BA4,BG4)</f>
        <v>2.87479787288034</v>
      </c>
      <c r="BT4" s="5" t="n">
        <f aca="false">_xlfn.STDEV.P(F4,L4,R4,X4,AD4,AJ4,AP4,AV4,BB4,BH4)</f>
        <v>0</v>
      </c>
      <c r="BU4" s="5" t="n">
        <f aca="false">_xlfn.STDEV.P(G4,M4,S4,Y4,AE4,AK4,AQ4,AW4,BC4,BI4)</f>
        <v>0</v>
      </c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20</v>
      </c>
      <c r="D5" s="5" t="n">
        <v>20</v>
      </c>
      <c r="E5" s="5" t="n">
        <v>25</v>
      </c>
      <c r="F5" s="5" t="n">
        <v>15</v>
      </c>
      <c r="G5" s="5" t="n">
        <v>20</v>
      </c>
      <c r="H5" s="5"/>
      <c r="I5" s="5" t="n">
        <v>20</v>
      </c>
      <c r="J5" s="5" t="n">
        <v>20</v>
      </c>
      <c r="K5" s="5" t="n">
        <v>30</v>
      </c>
      <c r="L5" s="5" t="n">
        <v>10</v>
      </c>
      <c r="M5" s="5" t="n">
        <v>20</v>
      </c>
      <c r="N5" s="5"/>
      <c r="O5" s="5" t="n">
        <v>15</v>
      </c>
      <c r="P5" s="5" t="n">
        <v>15</v>
      </c>
      <c r="Q5" s="5" t="n">
        <v>40</v>
      </c>
      <c r="R5" s="5" t="n">
        <v>0</v>
      </c>
      <c r="S5" s="5" t="n">
        <v>30</v>
      </c>
      <c r="T5" s="5"/>
      <c r="U5" s="5" t="n">
        <v>20</v>
      </c>
      <c r="V5" s="5" t="n">
        <v>20</v>
      </c>
      <c r="W5" s="5" t="n">
        <v>25</v>
      </c>
      <c r="X5" s="5" t="n">
        <v>15</v>
      </c>
      <c r="Y5" s="5" t="n">
        <v>20</v>
      </c>
      <c r="Z5" s="5"/>
      <c r="AA5" s="5" t="n">
        <v>20</v>
      </c>
      <c r="AB5" s="5" t="n">
        <v>20</v>
      </c>
      <c r="AC5" s="5" t="n">
        <v>25</v>
      </c>
      <c r="AD5" s="5" t="n">
        <v>15</v>
      </c>
      <c r="AE5" s="5" t="n">
        <v>20</v>
      </c>
      <c r="AF5" s="5"/>
      <c r="AG5" s="5" t="n">
        <v>20</v>
      </c>
      <c r="AH5" s="5" t="n">
        <v>20</v>
      </c>
      <c r="AI5" s="5" t="n">
        <v>20</v>
      </c>
      <c r="AJ5" s="5" t="n">
        <v>20</v>
      </c>
      <c r="AK5" s="5" t="n">
        <v>20</v>
      </c>
      <c r="AL5" s="5"/>
      <c r="AM5" s="5" t="n">
        <v>20</v>
      </c>
      <c r="AN5" s="5" t="n">
        <v>20</v>
      </c>
      <c r="AO5" s="5" t="n">
        <v>20</v>
      </c>
      <c r="AP5" s="5" t="n">
        <v>20</v>
      </c>
      <c r="AQ5" s="5" t="n">
        <v>20</v>
      </c>
      <c r="AR5" s="5"/>
      <c r="AS5" s="5" t="n">
        <v>20</v>
      </c>
      <c r="AT5" s="5" t="n">
        <v>20</v>
      </c>
      <c r="AU5" s="5" t="n">
        <v>30</v>
      </c>
      <c r="AV5" s="5" t="n">
        <v>10</v>
      </c>
      <c r="AW5" s="5" t="n">
        <v>20</v>
      </c>
      <c r="AX5" s="5"/>
      <c r="AY5" s="5" t="n">
        <v>20</v>
      </c>
      <c r="AZ5" s="5" t="n">
        <v>20</v>
      </c>
      <c r="BA5" s="5" t="n">
        <v>25</v>
      </c>
      <c r="BB5" s="5" t="n">
        <v>15</v>
      </c>
      <c r="BC5" s="5" t="n">
        <v>20</v>
      </c>
      <c r="BD5" s="5"/>
      <c r="BE5" s="5" t="n">
        <v>20</v>
      </c>
      <c r="BF5" s="5" t="n">
        <v>20</v>
      </c>
      <c r="BG5" s="5" t="n">
        <v>30</v>
      </c>
      <c r="BH5" s="5" t="n">
        <v>10</v>
      </c>
      <c r="BI5" s="5" t="n">
        <v>20</v>
      </c>
      <c r="BK5" s="5" t="n">
        <f aca="false">AVERAGE(C5,I5,O5,U5,AA5,AG5,AM5,AS5,AY5,BE5)</f>
        <v>19.5</v>
      </c>
      <c r="BL5" s="5" t="n">
        <f aca="false">AVERAGE(D5,J5,P5,V5,AB5,AH5,AN5,AT5,AZ5,BF5)</f>
        <v>19.5</v>
      </c>
      <c r="BM5" s="5" t="n">
        <f aca="false">AVERAGE(,E5,K5,Q5,W5,AC5,AI5,AO5,AU5,BA5,BG5)</f>
        <v>24.5454545454545</v>
      </c>
      <c r="BN5" s="5" t="n">
        <f aca="false">AVERAGE(F5,L5,R5,X5,AD5,AJ5,AP5,AV5,BB5,BH5)</f>
        <v>13</v>
      </c>
      <c r="BO5" s="5" t="n">
        <f aca="false">AVERAGE(G5,M5,S5,Y5,AE5,AK5,AQ5,AW5,BC5,BI5)</f>
        <v>21</v>
      </c>
      <c r="BQ5" s="5" t="n">
        <f aca="false">_xlfn.STDEV.P(C5,I5,O5,U5,AA5,AG5,AM5,AS5,AY5,BE5)</f>
        <v>1.5</v>
      </c>
      <c r="BR5" s="5" t="n">
        <f aca="false">_xlfn.STDEV.P(D5,J5,P5,V5,AB5,AH5,AN5,AT5,AZ5,BF5)</f>
        <v>1.5</v>
      </c>
      <c r="BS5" s="5" t="n">
        <f aca="false">_xlfn.STDEV.P(,E5,K5,Q5,W5,AC5,AI5,AO5,AU5,BA5,BG5)</f>
        <v>9.40370948435327</v>
      </c>
      <c r="BT5" s="5" t="n">
        <f aca="false">_xlfn.STDEV.P(F5,L5,R5,X5,AD5,AJ5,AP5,AV5,BB5,BH5)</f>
        <v>5.56776436283002</v>
      </c>
      <c r="BU5" s="5" t="n">
        <f aca="false">_xlfn.STDEV.P(G5,M5,S5,Y5,AE5,AK5,AQ5,AW5,BC5,BI5)</f>
        <v>3</v>
      </c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20</v>
      </c>
      <c r="D6" s="5" t="n">
        <v>20</v>
      </c>
      <c r="E6" s="5" t="n">
        <v>40</v>
      </c>
      <c r="F6" s="5" t="n">
        <v>10</v>
      </c>
      <c r="G6" s="5" t="n">
        <v>10</v>
      </c>
      <c r="H6" s="5"/>
      <c r="I6" s="5" t="n">
        <v>20</v>
      </c>
      <c r="J6" s="5" t="n">
        <v>25</v>
      </c>
      <c r="K6" s="5" t="n">
        <v>30</v>
      </c>
      <c r="L6" s="5" t="n">
        <v>15</v>
      </c>
      <c r="M6" s="5" t="n">
        <v>10</v>
      </c>
      <c r="N6" s="5"/>
      <c r="O6" s="5" t="n">
        <v>20</v>
      </c>
      <c r="P6" s="5" t="n">
        <v>20</v>
      </c>
      <c r="Q6" s="5" t="n">
        <v>40</v>
      </c>
      <c r="R6" s="5" t="n">
        <v>10</v>
      </c>
      <c r="S6" s="5" t="n">
        <v>10</v>
      </c>
      <c r="T6" s="5"/>
      <c r="U6" s="5" t="n">
        <v>20</v>
      </c>
      <c r="V6" s="5" t="n">
        <v>20</v>
      </c>
      <c r="W6" s="5" t="n">
        <v>40</v>
      </c>
      <c r="X6" s="5" t="n">
        <v>10</v>
      </c>
      <c r="Y6" s="5" t="n">
        <v>10</v>
      </c>
      <c r="Z6" s="5"/>
      <c r="AA6" s="5" t="n">
        <v>20</v>
      </c>
      <c r="AB6" s="5" t="n">
        <v>20</v>
      </c>
      <c r="AC6" s="5" t="n">
        <v>40</v>
      </c>
      <c r="AD6" s="5" t="n">
        <v>10</v>
      </c>
      <c r="AE6" s="5" t="n">
        <v>10</v>
      </c>
      <c r="AF6" s="5"/>
      <c r="AG6" s="5" t="n">
        <v>20</v>
      </c>
      <c r="AH6" s="5" t="n">
        <v>20</v>
      </c>
      <c r="AI6" s="5" t="n">
        <v>30</v>
      </c>
      <c r="AJ6" s="5" t="n">
        <v>20</v>
      </c>
      <c r="AK6" s="5" t="n">
        <v>10</v>
      </c>
      <c r="AL6" s="5"/>
      <c r="AM6" s="5" t="n">
        <v>20</v>
      </c>
      <c r="AN6" s="5" t="n">
        <v>20</v>
      </c>
      <c r="AO6" s="5" t="n">
        <v>40</v>
      </c>
      <c r="AP6" s="5" t="n">
        <v>10</v>
      </c>
      <c r="AQ6" s="5" t="n">
        <v>10</v>
      </c>
      <c r="AR6" s="5"/>
      <c r="AS6" s="5" t="n">
        <v>20</v>
      </c>
      <c r="AT6" s="5" t="n">
        <v>20</v>
      </c>
      <c r="AU6" s="5" t="n">
        <v>40</v>
      </c>
      <c r="AV6" s="5" t="n">
        <v>10</v>
      </c>
      <c r="AW6" s="5" t="n">
        <v>10</v>
      </c>
      <c r="AX6" s="5"/>
      <c r="AY6" s="5" t="n">
        <v>20</v>
      </c>
      <c r="AZ6" s="5" t="n">
        <v>25</v>
      </c>
      <c r="BA6" s="5" t="n">
        <v>30</v>
      </c>
      <c r="BB6" s="5" t="n">
        <v>15</v>
      </c>
      <c r="BC6" s="5" t="n">
        <v>10</v>
      </c>
      <c r="BD6" s="5"/>
      <c r="BE6" s="5" t="n">
        <v>20</v>
      </c>
      <c r="BF6" s="5" t="n">
        <v>20</v>
      </c>
      <c r="BG6" s="5" t="n">
        <v>40</v>
      </c>
      <c r="BH6" s="5" t="n">
        <v>10</v>
      </c>
      <c r="BI6" s="5" t="n">
        <v>10</v>
      </c>
      <c r="BK6" s="5" t="n">
        <f aca="false">AVERAGE(C6,I6,O6,U6,AA6,AG6,AM6,AS6,AY6,BE6)</f>
        <v>20</v>
      </c>
      <c r="BL6" s="5" t="n">
        <f aca="false">AVERAGE(D6,J6,P6,V6,AB6,AH6,AN6,AT6,AZ6,BF6)</f>
        <v>21</v>
      </c>
      <c r="BM6" s="5" t="n">
        <f aca="false">AVERAGE(,E6,K6,Q6,W6,AC6,AI6,AO6,AU6,BA6,BG6)</f>
        <v>33.6363636363636</v>
      </c>
      <c r="BN6" s="5" t="n">
        <f aca="false">AVERAGE(F6,L6,R6,X6,AD6,AJ6,AP6,AV6,BB6,BH6)</f>
        <v>12</v>
      </c>
      <c r="BO6" s="5" t="n">
        <f aca="false">AVERAGE(G6,M6,S6,Y6,AE6,AK6,AQ6,AW6,BC6,BI6)</f>
        <v>10</v>
      </c>
      <c r="BQ6" s="5" t="n">
        <f aca="false">_xlfn.STDEV.P(C6,I6,O6,U6,AA6,AG6,AM6,AS6,AY6,BE6)</f>
        <v>0</v>
      </c>
      <c r="BR6" s="5" t="n">
        <f aca="false">_xlfn.STDEV.P(D6,J6,P6,V6,AB6,AH6,AN6,AT6,AZ6,BF6)</f>
        <v>2</v>
      </c>
      <c r="BS6" s="5" t="n">
        <f aca="false">_xlfn.STDEV.P(,E6,K6,Q6,W6,AC6,AI6,AO6,AU6,BA6,BG6)</f>
        <v>11.4991914915214</v>
      </c>
      <c r="BT6" s="5" t="n">
        <f aca="false">_xlfn.STDEV.P(F6,L6,R6,X6,AD6,AJ6,AP6,AV6,BB6,BH6)</f>
        <v>3.3166247903554</v>
      </c>
      <c r="BU6" s="5" t="n">
        <f aca="false">_xlfn.STDEV.P(G6,M6,S6,Y6,AE6,AK6,AQ6,AW6,BC6,BI6)</f>
        <v>0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20</v>
      </c>
      <c r="D7" s="5" t="n">
        <v>25</v>
      </c>
      <c r="E7" s="5" t="n">
        <v>15</v>
      </c>
      <c r="F7" s="5" t="n">
        <v>20</v>
      </c>
      <c r="G7" s="5" t="n">
        <v>20</v>
      </c>
      <c r="H7" s="5"/>
      <c r="I7" s="5" t="n">
        <v>20</v>
      </c>
      <c r="J7" s="5" t="n">
        <v>20</v>
      </c>
      <c r="K7" s="5" t="n">
        <v>10</v>
      </c>
      <c r="L7" s="5" t="n">
        <v>10</v>
      </c>
      <c r="M7" s="5" t="n">
        <v>40</v>
      </c>
      <c r="N7" s="5"/>
      <c r="O7" s="5" t="n">
        <v>20</v>
      </c>
      <c r="P7" s="5" t="n">
        <v>20</v>
      </c>
      <c r="Q7" s="5" t="n">
        <v>10</v>
      </c>
      <c r="R7" s="5" t="n">
        <v>10</v>
      </c>
      <c r="S7" s="5" t="n">
        <v>40</v>
      </c>
      <c r="T7" s="5"/>
      <c r="U7" s="5" t="n">
        <v>20</v>
      </c>
      <c r="V7" s="5" t="n">
        <v>20</v>
      </c>
      <c r="W7" s="5" t="n">
        <v>10</v>
      </c>
      <c r="X7" s="5" t="n">
        <v>10</v>
      </c>
      <c r="Y7" s="5" t="n">
        <v>40</v>
      </c>
      <c r="Z7" s="5"/>
      <c r="AA7" s="5" t="n">
        <v>20</v>
      </c>
      <c r="AB7" s="5" t="n">
        <v>20</v>
      </c>
      <c r="AC7" s="5" t="n">
        <v>10</v>
      </c>
      <c r="AD7" s="5" t="n">
        <v>10</v>
      </c>
      <c r="AE7" s="5" t="n">
        <v>40</v>
      </c>
      <c r="AF7" s="5"/>
      <c r="AG7" s="5" t="n">
        <v>20</v>
      </c>
      <c r="AH7" s="5" t="n">
        <v>20</v>
      </c>
      <c r="AI7" s="5" t="n">
        <v>10</v>
      </c>
      <c r="AJ7" s="5" t="n">
        <v>10</v>
      </c>
      <c r="AK7" s="5" t="n">
        <v>40</v>
      </c>
      <c r="AL7" s="5"/>
      <c r="AM7" s="5" t="n">
        <v>20</v>
      </c>
      <c r="AN7" s="5" t="n">
        <v>25</v>
      </c>
      <c r="AO7" s="5" t="n">
        <v>15</v>
      </c>
      <c r="AP7" s="5" t="n">
        <v>20</v>
      </c>
      <c r="AQ7" s="5" t="n">
        <v>20</v>
      </c>
      <c r="AR7" s="5"/>
      <c r="AS7" s="5" t="n">
        <v>20</v>
      </c>
      <c r="AT7" s="5" t="n">
        <v>20</v>
      </c>
      <c r="AU7" s="5" t="n">
        <v>10</v>
      </c>
      <c r="AV7" s="5" t="n">
        <v>10</v>
      </c>
      <c r="AW7" s="5" t="n">
        <v>40</v>
      </c>
      <c r="AX7" s="5"/>
      <c r="AY7" s="5" t="n">
        <v>20</v>
      </c>
      <c r="AZ7" s="5" t="n">
        <v>20</v>
      </c>
      <c r="BA7" s="5" t="n">
        <v>10</v>
      </c>
      <c r="BB7" s="5" t="n">
        <v>20</v>
      </c>
      <c r="BC7" s="5" t="n">
        <v>30</v>
      </c>
      <c r="BD7" s="5"/>
      <c r="BE7" s="5" t="n">
        <v>20</v>
      </c>
      <c r="BF7" s="5" t="n">
        <v>20</v>
      </c>
      <c r="BG7" s="5" t="n">
        <v>10</v>
      </c>
      <c r="BH7" s="5" t="n">
        <v>10</v>
      </c>
      <c r="BI7" s="5" t="n">
        <v>40</v>
      </c>
      <c r="BK7" s="5" t="n">
        <f aca="false">AVERAGE(C7,I7,O7,U7,AA7,AG7,AM7,AS7,AY7,BE7)</f>
        <v>20</v>
      </c>
      <c r="BL7" s="5" t="n">
        <f aca="false">AVERAGE(D7,J7,P7,V7,AB7,AH7,AN7,AT7,AZ7,BF7)</f>
        <v>21</v>
      </c>
      <c r="BM7" s="5" t="n">
        <f aca="false">AVERAGE(,E7,K7,Q7,W7,AC7,AI7,AO7,AU7,BA7,BG7)</f>
        <v>10</v>
      </c>
      <c r="BN7" s="5" t="n">
        <f aca="false">AVERAGE(F7,L7,R7,X7,AD7,AJ7,AP7,AV7,BB7,BH7)</f>
        <v>13</v>
      </c>
      <c r="BO7" s="5" t="n">
        <f aca="false">AVERAGE(G7,M7,S7,Y7,AE7,AK7,AQ7,AW7,BC7,BI7)</f>
        <v>35</v>
      </c>
      <c r="BQ7" s="5" t="n">
        <f aca="false">_xlfn.STDEV.P(C7,I7,O7,U7,AA7,AG7,AM7,AS7,AY7,BE7)</f>
        <v>0</v>
      </c>
      <c r="BR7" s="5" t="n">
        <f aca="false">_xlfn.STDEV.P(D7,J7,P7,V7,AB7,AH7,AN7,AT7,AZ7,BF7)</f>
        <v>2</v>
      </c>
      <c r="BS7" s="5" t="n">
        <f aca="false">_xlfn.STDEV.P(,E7,K7,Q7,W7,AC7,AI7,AO7,AU7,BA7,BG7)</f>
        <v>3.69274472937998</v>
      </c>
      <c r="BT7" s="5" t="n">
        <f aca="false">_xlfn.STDEV.P(F7,L7,R7,X7,AD7,AJ7,AP7,AV7,BB7,BH7)</f>
        <v>4.58257569495584</v>
      </c>
      <c r="BU7" s="5" t="n">
        <f aca="false">_xlfn.STDEV.P(G7,M7,S7,Y7,AE7,AK7,AQ7,AW7,BC7,BI7)</f>
        <v>8.06225774829855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20</v>
      </c>
      <c r="D8" s="5" t="n">
        <v>25</v>
      </c>
      <c r="E8" s="5" t="n">
        <v>15</v>
      </c>
      <c r="F8" s="5" t="n">
        <v>20</v>
      </c>
      <c r="G8" s="5" t="n">
        <v>20</v>
      </c>
      <c r="H8" s="5"/>
      <c r="I8" s="5" t="n">
        <v>30</v>
      </c>
      <c r="J8" s="5" t="n">
        <v>25</v>
      </c>
      <c r="K8" s="5" t="n">
        <v>10</v>
      </c>
      <c r="L8" s="5" t="n">
        <v>15</v>
      </c>
      <c r="M8" s="5" t="n">
        <v>20</v>
      </c>
      <c r="N8" s="5"/>
      <c r="O8" s="5" t="n">
        <v>30</v>
      </c>
      <c r="P8" s="5" t="n">
        <v>25</v>
      </c>
      <c r="Q8" s="5" t="n">
        <v>10</v>
      </c>
      <c r="R8" s="5" t="n">
        <v>15</v>
      </c>
      <c r="S8" s="5" t="n">
        <v>20</v>
      </c>
      <c r="T8" s="5"/>
      <c r="U8" s="5" t="n">
        <v>30</v>
      </c>
      <c r="V8" s="5" t="n">
        <v>25</v>
      </c>
      <c r="W8" s="5" t="n">
        <v>15</v>
      </c>
      <c r="X8" s="5" t="n">
        <v>15</v>
      </c>
      <c r="Y8" s="5" t="n">
        <v>15</v>
      </c>
      <c r="Z8" s="5"/>
      <c r="AA8" s="5" t="n">
        <v>30</v>
      </c>
      <c r="AB8" s="5" t="n">
        <v>25</v>
      </c>
      <c r="AC8" s="5" t="n">
        <v>15</v>
      </c>
      <c r="AD8" s="5" t="n">
        <v>20</v>
      </c>
      <c r="AE8" s="5" t="n">
        <v>10</v>
      </c>
      <c r="AF8" s="5"/>
      <c r="AG8" s="5" t="n">
        <v>30</v>
      </c>
      <c r="AH8" s="5" t="n">
        <v>30</v>
      </c>
      <c r="AI8" s="5" t="n">
        <v>10</v>
      </c>
      <c r="AJ8" s="5" t="n">
        <v>10</v>
      </c>
      <c r="AK8" s="5" t="n">
        <v>20</v>
      </c>
      <c r="AL8" s="5"/>
      <c r="AM8" s="5" t="n">
        <v>30</v>
      </c>
      <c r="AN8" s="5" t="n">
        <v>25</v>
      </c>
      <c r="AO8" s="5" t="n">
        <v>10</v>
      </c>
      <c r="AP8" s="5" t="n">
        <v>15</v>
      </c>
      <c r="AQ8" s="5" t="n">
        <v>20</v>
      </c>
      <c r="AR8" s="5"/>
      <c r="AS8" s="5" t="n">
        <v>30</v>
      </c>
      <c r="AT8" s="5" t="n">
        <v>25</v>
      </c>
      <c r="AU8" s="5" t="n">
        <v>10</v>
      </c>
      <c r="AV8" s="5" t="n">
        <v>15</v>
      </c>
      <c r="AW8" s="5" t="n">
        <v>20</v>
      </c>
      <c r="AX8" s="5"/>
      <c r="AY8" s="5" t="n">
        <v>30</v>
      </c>
      <c r="AZ8" s="5" t="n">
        <v>25</v>
      </c>
      <c r="BA8" s="5" t="n">
        <v>10</v>
      </c>
      <c r="BB8" s="5" t="n">
        <v>15</v>
      </c>
      <c r="BC8" s="5" t="n">
        <v>20</v>
      </c>
      <c r="BD8" s="5"/>
      <c r="BE8" s="5" t="n">
        <v>30</v>
      </c>
      <c r="BF8" s="5" t="n">
        <v>25</v>
      </c>
      <c r="BG8" s="5" t="n">
        <v>10</v>
      </c>
      <c r="BH8" s="5" t="n">
        <v>15</v>
      </c>
      <c r="BI8" s="5" t="n">
        <v>20</v>
      </c>
      <c r="BK8" s="5" t="n">
        <f aca="false">AVERAGE(C8,I8,O8,U8,AA8,AG8,AM8,AS8,AY8,BE8)</f>
        <v>29</v>
      </c>
      <c r="BL8" s="5" t="n">
        <f aca="false">AVERAGE(D8,J8,P8,V8,AB8,AH8,AN8,AT8,AZ8,BF8)</f>
        <v>25.5</v>
      </c>
      <c r="BM8" s="5" t="n">
        <f aca="false">AVERAGE(,E8,K8,Q8,W8,AC8,AI8,AO8,AU8,BA8,BG8)</f>
        <v>10.4545454545455</v>
      </c>
      <c r="BN8" s="5" t="n">
        <f aca="false">AVERAGE(F8,L8,R8,X8,AD8,AJ8,AP8,AV8,BB8,BH8)</f>
        <v>15.5</v>
      </c>
      <c r="BO8" s="5" t="n">
        <f aca="false">AVERAGE(G8,M8,S8,Y8,AE8,AK8,AQ8,AW8,BC8,BI8)</f>
        <v>18.5</v>
      </c>
      <c r="BQ8" s="5" t="n">
        <f aca="false">_xlfn.STDEV.P(C8,I8,O8,U8,AA8,AG8,AM8,AS8,AY8,BE8)</f>
        <v>3</v>
      </c>
      <c r="BR8" s="5" t="n">
        <f aca="false">_xlfn.STDEV.P(D8,J8,P8,V8,AB8,AH8,AN8,AT8,AZ8,BF8)</f>
        <v>1.5</v>
      </c>
      <c r="BS8" s="5" t="n">
        <f aca="false">_xlfn.STDEV.P(,E8,K8,Q8,W8,AC8,AI8,AO8,AU8,BA8,BG8)</f>
        <v>3.96263540321879</v>
      </c>
      <c r="BT8" s="5" t="n">
        <f aca="false">_xlfn.STDEV.P(F8,L8,R8,X8,AD8,AJ8,AP8,AV8,BB8,BH8)</f>
        <v>2.69258240356725</v>
      </c>
      <c r="BU8" s="5" t="n">
        <f aca="false">_xlfn.STDEV.P(G8,M8,S8,Y8,AE8,AK8,AQ8,AW8,BC8,BI8)</f>
        <v>3.20156211871642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30</v>
      </c>
      <c r="D9" s="5" t="n">
        <v>30</v>
      </c>
      <c r="E9" s="5" t="n">
        <v>10</v>
      </c>
      <c r="F9" s="5" t="n">
        <v>20</v>
      </c>
      <c r="G9" s="5" t="n">
        <v>10</v>
      </c>
      <c r="H9" s="5"/>
      <c r="I9" s="5" t="n">
        <v>30</v>
      </c>
      <c r="J9" s="5" t="n">
        <v>25</v>
      </c>
      <c r="K9" s="5" t="n">
        <v>15</v>
      </c>
      <c r="L9" s="5" t="n">
        <v>15</v>
      </c>
      <c r="M9" s="5" t="n">
        <v>15</v>
      </c>
      <c r="N9" s="5"/>
      <c r="O9" s="5" t="n">
        <v>30</v>
      </c>
      <c r="P9" s="5" t="n">
        <v>30</v>
      </c>
      <c r="Q9" s="5" t="n">
        <v>10</v>
      </c>
      <c r="R9" s="5" t="n">
        <v>20</v>
      </c>
      <c r="S9" s="5" t="n">
        <v>10</v>
      </c>
      <c r="T9" s="5"/>
      <c r="U9" s="5" t="n">
        <v>30</v>
      </c>
      <c r="V9" s="5" t="n">
        <v>30</v>
      </c>
      <c r="W9" s="5" t="n">
        <v>10</v>
      </c>
      <c r="X9" s="5" t="n">
        <v>20</v>
      </c>
      <c r="Y9" s="5" t="n">
        <v>10</v>
      </c>
      <c r="Z9" s="5"/>
      <c r="AA9" s="5" t="n">
        <v>30</v>
      </c>
      <c r="AB9" s="5" t="n">
        <v>30</v>
      </c>
      <c r="AC9" s="5" t="n">
        <v>10</v>
      </c>
      <c r="AD9" s="5" t="n">
        <v>20</v>
      </c>
      <c r="AE9" s="5" t="n">
        <v>10</v>
      </c>
      <c r="AF9" s="5"/>
      <c r="AG9" s="5" t="n">
        <v>30</v>
      </c>
      <c r="AH9" s="5" t="n">
        <v>30</v>
      </c>
      <c r="AI9" s="5" t="n">
        <v>10</v>
      </c>
      <c r="AJ9" s="5" t="n">
        <v>20</v>
      </c>
      <c r="AK9" s="5" t="n">
        <v>10</v>
      </c>
      <c r="AL9" s="5"/>
      <c r="AM9" s="5" t="n">
        <v>30</v>
      </c>
      <c r="AN9" s="5" t="n">
        <v>25</v>
      </c>
      <c r="AO9" s="5" t="n">
        <v>15</v>
      </c>
      <c r="AP9" s="5" t="n">
        <v>20</v>
      </c>
      <c r="AQ9" s="5" t="n">
        <v>10</v>
      </c>
      <c r="AR9" s="5"/>
      <c r="AS9" s="5" t="n">
        <v>30</v>
      </c>
      <c r="AT9" s="5" t="n">
        <v>30</v>
      </c>
      <c r="AU9" s="5" t="n">
        <v>10</v>
      </c>
      <c r="AV9" s="5" t="n">
        <v>20</v>
      </c>
      <c r="AW9" s="5" t="n">
        <v>10</v>
      </c>
      <c r="AX9" s="5"/>
      <c r="AY9" s="5" t="n">
        <v>30</v>
      </c>
      <c r="AZ9" s="5" t="n">
        <v>30</v>
      </c>
      <c r="BA9" s="5" t="n">
        <v>10</v>
      </c>
      <c r="BB9" s="5" t="n">
        <v>20</v>
      </c>
      <c r="BC9" s="5" t="n">
        <v>10</v>
      </c>
      <c r="BD9" s="5"/>
      <c r="BE9" s="5" t="n">
        <v>30</v>
      </c>
      <c r="BF9" s="5" t="n">
        <v>30</v>
      </c>
      <c r="BG9" s="5" t="n">
        <v>10</v>
      </c>
      <c r="BH9" s="5" t="n">
        <v>20</v>
      </c>
      <c r="BI9" s="5" t="n">
        <v>10</v>
      </c>
      <c r="BK9" s="5" t="n">
        <f aca="false">AVERAGE(C9,I9,O9,U9,AA9,AG9,AM9,AS9,AY9,BE9)</f>
        <v>30</v>
      </c>
      <c r="BL9" s="5" t="n">
        <f aca="false">AVERAGE(D9,J9,P9,V9,AB9,AH9,AN9,AT9,AZ9,BF9)</f>
        <v>29</v>
      </c>
      <c r="BM9" s="5" t="n">
        <f aca="false">AVERAGE(,E9,K9,Q9,W9,AC9,AI9,AO9,AU9,BA9,BG9)</f>
        <v>10</v>
      </c>
      <c r="BN9" s="5" t="n">
        <f aca="false">AVERAGE(F9,L9,R9,X9,AD9,AJ9,AP9,AV9,BB9,BH9)</f>
        <v>19.5</v>
      </c>
      <c r="BO9" s="5" t="n">
        <f aca="false">AVERAGE(G9,M9,S9,Y9,AE9,AK9,AQ9,AW9,BC9,BI9)</f>
        <v>10.5</v>
      </c>
      <c r="BQ9" s="5" t="n">
        <f aca="false">_xlfn.STDEV.P(C9,I9,O9,U9,AA9,AG9,AM9,AS9,AY9,BE9)</f>
        <v>0</v>
      </c>
      <c r="BR9" s="5" t="n">
        <f aca="false">_xlfn.STDEV.P(D9,J9,P9,V9,AB9,AH9,AN9,AT9,AZ9,BF9)</f>
        <v>2</v>
      </c>
      <c r="BS9" s="5" t="n">
        <f aca="false">_xlfn.STDEV.P(,E9,K9,Q9,W9,AC9,AI9,AO9,AU9,BA9,BG9)</f>
        <v>3.69274472937998</v>
      </c>
      <c r="BT9" s="5" t="n">
        <f aca="false">_xlfn.STDEV.P(F9,L9,R9,X9,AD9,AJ9,AP9,AV9,BB9,BH9)</f>
        <v>1.5</v>
      </c>
      <c r="BU9" s="5" t="n">
        <f aca="false">_xlfn.STDEV.P(G9,M9,S9,Y9,AE9,AK9,AQ9,AW9,BC9,BI9)</f>
        <v>1.5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20</v>
      </c>
      <c r="D10" s="5" t="n">
        <v>30</v>
      </c>
      <c r="E10" s="5" t="n">
        <v>10</v>
      </c>
      <c r="F10" s="5" t="n">
        <v>20</v>
      </c>
      <c r="G10" s="5" t="n">
        <v>20</v>
      </c>
      <c r="H10" s="5"/>
      <c r="I10" s="5" t="n">
        <v>20</v>
      </c>
      <c r="J10" s="5" t="n">
        <v>30</v>
      </c>
      <c r="K10" s="5" t="n">
        <v>10</v>
      </c>
      <c r="L10" s="5" t="n">
        <v>20</v>
      </c>
      <c r="M10" s="5" t="n">
        <v>20</v>
      </c>
      <c r="N10" s="5"/>
      <c r="O10" s="5" t="n">
        <v>20</v>
      </c>
      <c r="P10" s="5" t="n">
        <v>30</v>
      </c>
      <c r="Q10" s="5" t="n">
        <v>10</v>
      </c>
      <c r="R10" s="5" t="n">
        <v>20</v>
      </c>
      <c r="S10" s="5" t="n">
        <v>20</v>
      </c>
      <c r="T10" s="5"/>
      <c r="U10" s="5" t="n">
        <v>20</v>
      </c>
      <c r="V10" s="5" t="n">
        <v>30</v>
      </c>
      <c r="W10" s="5" t="n">
        <v>10</v>
      </c>
      <c r="X10" s="5" t="n">
        <v>20</v>
      </c>
      <c r="Y10" s="5" t="n">
        <v>20</v>
      </c>
      <c r="Z10" s="5"/>
      <c r="AA10" s="5" t="n">
        <v>20</v>
      </c>
      <c r="AB10" s="5" t="n">
        <v>30</v>
      </c>
      <c r="AC10" s="5" t="n">
        <v>10</v>
      </c>
      <c r="AD10" s="5" t="n">
        <v>20</v>
      </c>
      <c r="AE10" s="5" t="n">
        <v>20</v>
      </c>
      <c r="AF10" s="5"/>
      <c r="AG10" s="5" t="n">
        <v>30</v>
      </c>
      <c r="AH10" s="5" t="n">
        <v>25</v>
      </c>
      <c r="AI10" s="5" t="n">
        <v>15</v>
      </c>
      <c r="AJ10" s="5" t="n">
        <v>20</v>
      </c>
      <c r="AK10" s="5" t="n">
        <v>10</v>
      </c>
      <c r="AL10" s="5"/>
      <c r="AM10" s="5" t="n">
        <v>20</v>
      </c>
      <c r="AN10" s="5" t="n">
        <v>30</v>
      </c>
      <c r="AO10" s="5" t="n">
        <v>20</v>
      </c>
      <c r="AP10" s="5" t="n">
        <v>20</v>
      </c>
      <c r="AQ10" s="5" t="n">
        <v>10</v>
      </c>
      <c r="AR10" s="5"/>
      <c r="AS10" s="5" t="n">
        <v>20</v>
      </c>
      <c r="AT10" s="5" t="n">
        <v>30</v>
      </c>
      <c r="AU10" s="5" t="n">
        <v>20</v>
      </c>
      <c r="AV10" s="5" t="n">
        <v>20</v>
      </c>
      <c r="AW10" s="5" t="n">
        <v>10</v>
      </c>
      <c r="AX10" s="5"/>
      <c r="AY10" s="5" t="n">
        <v>20</v>
      </c>
      <c r="AZ10" s="5" t="n">
        <v>30</v>
      </c>
      <c r="BA10" s="5" t="n">
        <v>10</v>
      </c>
      <c r="BB10" s="5" t="n">
        <v>20</v>
      </c>
      <c r="BC10" s="5" t="n">
        <v>20</v>
      </c>
      <c r="BD10" s="5"/>
      <c r="BE10" s="5" t="n">
        <v>20</v>
      </c>
      <c r="BF10" s="5" t="n">
        <v>30</v>
      </c>
      <c r="BG10" s="5" t="n">
        <v>10</v>
      </c>
      <c r="BH10" s="5" t="n">
        <v>20</v>
      </c>
      <c r="BI10" s="5" t="n">
        <v>20</v>
      </c>
      <c r="BK10" s="5" t="n">
        <f aca="false">AVERAGE(C10,I10,O10,U10,AA10,AG10,AM10,AS10,AY10,BE10)</f>
        <v>21</v>
      </c>
      <c r="BL10" s="5" t="n">
        <f aca="false">AVERAGE(D10,J10,P10,V10,AB10,AH10,AN10,AT10,AZ10,BF10)</f>
        <v>29.5</v>
      </c>
      <c r="BM10" s="5" t="n">
        <f aca="false">AVERAGE(,E10,K10,Q10,W10,AC10,AI10,AO10,AU10,BA10,BG10)</f>
        <v>11.3636363636364</v>
      </c>
      <c r="BN10" s="5" t="n">
        <f aca="false">AVERAGE(F10,L10,R10,X10,AD10,AJ10,AP10,AV10,BB10,BH10)</f>
        <v>20</v>
      </c>
      <c r="BO10" s="5" t="n">
        <f aca="false">AVERAGE(G10,M10,S10,Y10,AE10,AK10,AQ10,AW10,BC10,BI10)</f>
        <v>17</v>
      </c>
      <c r="BQ10" s="5" t="n">
        <f aca="false">_xlfn.STDEV.P(C10,I10,O10,U10,AA10,AG10,AM10,AS10,AY10,BE10)</f>
        <v>3</v>
      </c>
      <c r="BR10" s="5" t="n">
        <f aca="false">_xlfn.STDEV.P(D10,J10,P10,V10,AB10,AH10,AN10,AT10,AZ10,BF10)</f>
        <v>1.5</v>
      </c>
      <c r="BS10" s="5" t="n">
        <f aca="false">_xlfn.STDEV.P(,E10,K10,Q10,W10,AC10,AI10,AO10,AU10,BA10,BG10)</f>
        <v>5.26174404672283</v>
      </c>
      <c r="BT10" s="5" t="n">
        <f aca="false">_xlfn.STDEV.P(F10,L10,R10,X10,AD10,AJ10,AP10,AV10,BB10,BH10)</f>
        <v>0</v>
      </c>
      <c r="BU10" s="5" t="n">
        <f aca="false">_xlfn.STDEV.P(G10,M10,S10,Y10,AE10,AK10,AQ10,AW10,BC10,BI10)</f>
        <v>4.58257569495584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20</v>
      </c>
      <c r="D11" s="5" t="n">
        <v>30</v>
      </c>
      <c r="E11" s="5" t="n">
        <v>10</v>
      </c>
      <c r="F11" s="5" t="n">
        <v>20</v>
      </c>
      <c r="G11" s="5" t="n">
        <v>20</v>
      </c>
      <c r="H11" s="5"/>
      <c r="I11" s="5" t="n">
        <v>30</v>
      </c>
      <c r="J11" s="5" t="n">
        <v>25</v>
      </c>
      <c r="K11" s="5" t="n">
        <v>15</v>
      </c>
      <c r="L11" s="5" t="n">
        <v>20</v>
      </c>
      <c r="M11" s="5" t="n">
        <v>10</v>
      </c>
      <c r="N11" s="5"/>
      <c r="O11" s="5" t="n">
        <v>20</v>
      </c>
      <c r="P11" s="5" t="n">
        <v>30</v>
      </c>
      <c r="Q11" s="5" t="n">
        <v>20</v>
      </c>
      <c r="R11" s="5" t="n">
        <v>20</v>
      </c>
      <c r="S11" s="5" t="n">
        <v>10</v>
      </c>
      <c r="T11" s="5"/>
      <c r="U11" s="5" t="n">
        <v>20</v>
      </c>
      <c r="V11" s="5" t="n">
        <v>30</v>
      </c>
      <c r="W11" s="5" t="n">
        <v>10</v>
      </c>
      <c r="X11" s="5" t="n">
        <v>20</v>
      </c>
      <c r="Y11" s="5" t="n">
        <v>20</v>
      </c>
      <c r="Z11" s="5"/>
      <c r="AA11" s="5" t="n">
        <v>20</v>
      </c>
      <c r="AB11" s="5" t="n">
        <v>30</v>
      </c>
      <c r="AC11" s="5" t="n">
        <v>10</v>
      </c>
      <c r="AD11" s="5" t="n">
        <v>20</v>
      </c>
      <c r="AE11" s="5" t="n">
        <v>20</v>
      </c>
      <c r="AF11" s="5"/>
      <c r="AG11" s="5" t="n">
        <v>20</v>
      </c>
      <c r="AH11" s="5" t="n">
        <v>30</v>
      </c>
      <c r="AI11" s="5" t="n">
        <v>10</v>
      </c>
      <c r="AJ11" s="5" t="n">
        <v>20</v>
      </c>
      <c r="AK11" s="5" t="n">
        <v>20</v>
      </c>
      <c r="AL11" s="5"/>
      <c r="AM11" s="5" t="n">
        <v>20</v>
      </c>
      <c r="AN11" s="5" t="n">
        <v>30</v>
      </c>
      <c r="AO11" s="5" t="n">
        <v>20</v>
      </c>
      <c r="AP11" s="5" t="n">
        <v>20</v>
      </c>
      <c r="AQ11" s="5" t="n">
        <v>10</v>
      </c>
      <c r="AR11" s="5"/>
      <c r="AS11" s="5" t="n">
        <v>30</v>
      </c>
      <c r="AT11" s="5" t="n">
        <v>25</v>
      </c>
      <c r="AU11" s="5" t="n">
        <v>20</v>
      </c>
      <c r="AV11" s="5" t="n">
        <v>15</v>
      </c>
      <c r="AW11" s="5" t="n">
        <v>10</v>
      </c>
      <c r="AX11" s="5"/>
      <c r="AY11" s="5" t="n">
        <v>20</v>
      </c>
      <c r="AZ11" s="5" t="n">
        <v>30</v>
      </c>
      <c r="BA11" s="5" t="n">
        <v>20</v>
      </c>
      <c r="BB11" s="5" t="n">
        <v>20</v>
      </c>
      <c r="BC11" s="5" t="n">
        <v>10</v>
      </c>
      <c r="BD11" s="5"/>
      <c r="BE11" s="5" t="n">
        <v>20</v>
      </c>
      <c r="BF11" s="5" t="n">
        <v>30</v>
      </c>
      <c r="BG11" s="5" t="n">
        <v>10</v>
      </c>
      <c r="BH11" s="5" t="n">
        <v>20</v>
      </c>
      <c r="BI11" s="5" t="n">
        <v>20</v>
      </c>
      <c r="BK11" s="5" t="n">
        <f aca="false">AVERAGE(C11,I11,O11,U11,AA11,AG11,AM11,AS11,AY11,BE11)</f>
        <v>22</v>
      </c>
      <c r="BL11" s="5" t="n">
        <f aca="false">AVERAGE(D11,J11,P11,V11,AB11,AH11,AN11,AT11,AZ11,BF11)</f>
        <v>29</v>
      </c>
      <c r="BM11" s="5" t="n">
        <f aca="false">AVERAGE(,E11,K11,Q11,W11,AC11,AI11,AO11,AU11,BA11,BG11)</f>
        <v>13.1818181818182</v>
      </c>
      <c r="BN11" s="5" t="n">
        <f aca="false">AVERAGE(F11,L11,R11,X11,AD11,AJ11,AP11,AV11,BB11,BH11)</f>
        <v>19.5</v>
      </c>
      <c r="BO11" s="5" t="n">
        <f aca="false">AVERAGE(G11,M11,S11,Y11,AE11,AK11,AQ11,AW11,BC11,BI11)</f>
        <v>15</v>
      </c>
      <c r="BQ11" s="5" t="n">
        <f aca="false">_xlfn.STDEV.P(C11,I11,O11,U11,AA11,AG11,AM11,AS11,AY11,BE11)</f>
        <v>4</v>
      </c>
      <c r="BR11" s="5" t="n">
        <f aca="false">_xlfn.STDEV.P(D11,J11,P11,V11,AB11,AH11,AN11,AT11,AZ11,BF11)</f>
        <v>2</v>
      </c>
      <c r="BS11" s="5" t="n">
        <f aca="false">_xlfn.STDEV.P(,E11,K11,Q11,W11,AC11,AI11,AO11,AU11,BA11,BG11)</f>
        <v>6.13215343783275</v>
      </c>
      <c r="BT11" s="5" t="n">
        <f aca="false">_xlfn.STDEV.P(F11,L11,R11,X11,AD11,AJ11,AP11,AV11,BB11,BH11)</f>
        <v>1.5</v>
      </c>
      <c r="BU11" s="5" t="n">
        <f aca="false">_xlfn.STDEV.P(G11,M11,S11,Y11,AE11,AK11,AQ11,AW11,BC11,BI11)</f>
        <v>5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20</v>
      </c>
      <c r="D12" s="5" t="n">
        <v>30</v>
      </c>
      <c r="E12" s="5" t="n">
        <v>10</v>
      </c>
      <c r="F12" s="5" t="n">
        <v>20</v>
      </c>
      <c r="G12" s="5" t="n">
        <v>20</v>
      </c>
      <c r="H12" s="5"/>
      <c r="I12" s="5" t="n">
        <v>20</v>
      </c>
      <c r="J12" s="5" t="n">
        <v>30</v>
      </c>
      <c r="K12" s="5" t="n">
        <v>10</v>
      </c>
      <c r="L12" s="5" t="n">
        <v>20</v>
      </c>
      <c r="M12" s="5" t="n">
        <v>20</v>
      </c>
      <c r="N12" s="5"/>
      <c r="O12" s="5" t="n">
        <v>20</v>
      </c>
      <c r="P12" s="5" t="n">
        <v>30</v>
      </c>
      <c r="Q12" s="5" t="n">
        <v>10</v>
      </c>
      <c r="R12" s="5" t="n">
        <v>20</v>
      </c>
      <c r="S12" s="5" t="n">
        <v>20</v>
      </c>
      <c r="T12" s="5"/>
      <c r="U12" s="5" t="n">
        <v>20</v>
      </c>
      <c r="V12" s="5" t="n">
        <v>30</v>
      </c>
      <c r="W12" s="5" t="n">
        <v>10</v>
      </c>
      <c r="X12" s="5" t="n">
        <v>20</v>
      </c>
      <c r="Y12" s="5" t="n">
        <v>20</v>
      </c>
      <c r="Z12" s="5"/>
      <c r="AA12" s="5" t="n">
        <v>20</v>
      </c>
      <c r="AB12" s="5" t="n">
        <v>30</v>
      </c>
      <c r="AC12" s="5" t="n">
        <v>10</v>
      </c>
      <c r="AD12" s="5" t="n">
        <v>20</v>
      </c>
      <c r="AE12" s="5" t="n">
        <v>20</v>
      </c>
      <c r="AF12" s="5"/>
      <c r="AG12" s="5" t="n">
        <v>20</v>
      </c>
      <c r="AH12" s="5" t="n">
        <v>30</v>
      </c>
      <c r="AI12" s="5" t="n">
        <v>10</v>
      </c>
      <c r="AJ12" s="5" t="n">
        <v>30</v>
      </c>
      <c r="AK12" s="5" t="n">
        <v>10</v>
      </c>
      <c r="AL12" s="5"/>
      <c r="AM12" s="5" t="n">
        <v>20</v>
      </c>
      <c r="AN12" s="5" t="n">
        <v>30</v>
      </c>
      <c r="AO12" s="5" t="n">
        <v>10</v>
      </c>
      <c r="AP12" s="5" t="n">
        <v>20</v>
      </c>
      <c r="AQ12" s="5" t="n">
        <v>20</v>
      </c>
      <c r="AR12" s="5"/>
      <c r="AS12" s="5" t="n">
        <v>20</v>
      </c>
      <c r="AT12" s="5" t="n">
        <v>30</v>
      </c>
      <c r="AU12" s="5" t="n">
        <v>10</v>
      </c>
      <c r="AV12" s="5" t="n">
        <v>20</v>
      </c>
      <c r="AW12" s="5" t="n">
        <v>20</v>
      </c>
      <c r="AX12" s="5"/>
      <c r="AY12" s="5" t="n">
        <v>20</v>
      </c>
      <c r="AZ12" s="5" t="n">
        <v>30</v>
      </c>
      <c r="BA12" s="5" t="n">
        <v>10</v>
      </c>
      <c r="BB12" s="5" t="n">
        <v>20</v>
      </c>
      <c r="BC12" s="5" t="n">
        <v>20</v>
      </c>
      <c r="BD12" s="5"/>
      <c r="BE12" s="5" t="n">
        <v>20</v>
      </c>
      <c r="BF12" s="5" t="n">
        <v>30</v>
      </c>
      <c r="BG12" s="5" t="n">
        <v>20</v>
      </c>
      <c r="BH12" s="5" t="n">
        <v>20</v>
      </c>
      <c r="BI12" s="5" t="n">
        <v>10</v>
      </c>
      <c r="BK12" s="5" t="n">
        <f aca="false">AVERAGE(C12,I12,O12,U12,AA12,AG12,AM12,AS12,AY12,BE12)</f>
        <v>20</v>
      </c>
      <c r="BL12" s="5" t="n">
        <f aca="false">AVERAGE(D12,J12,P12,V12,AB12,AH12,AN12,AT12,AZ12,BF12)</f>
        <v>30</v>
      </c>
      <c r="BM12" s="5" t="n">
        <f aca="false">AVERAGE(,E12,K12,Q12,W12,AC12,AI12,AO12,AU12,BA12,BG12)</f>
        <v>10</v>
      </c>
      <c r="BN12" s="5" t="n">
        <f aca="false">AVERAGE(F12,L12,R12,X12,AD12,AJ12,AP12,AV12,BB12,BH12)</f>
        <v>21</v>
      </c>
      <c r="BO12" s="5" t="n">
        <f aca="false">AVERAGE(G12,M12,S12,Y12,AE12,AK12,AQ12,AW12,BC12,BI12)</f>
        <v>18</v>
      </c>
      <c r="BQ12" s="5" t="n">
        <f aca="false">_xlfn.STDEV.P(C12,I12,O12,U12,AA12,AG12,AM12,AS12,AY12,BE12)</f>
        <v>0</v>
      </c>
      <c r="BR12" s="5" t="n">
        <f aca="false">_xlfn.STDEV.P(D12,J12,P12,V12,AB12,AH12,AN12,AT12,AZ12,BF12)</f>
        <v>0</v>
      </c>
      <c r="BS12" s="5" t="n">
        <f aca="false">_xlfn.STDEV.P(,E12,K12,Q12,W12,AC12,AI12,AO12,AU12,BA12,BG12)</f>
        <v>4.26401432711221</v>
      </c>
      <c r="BT12" s="5" t="n">
        <f aca="false">_xlfn.STDEV.P(F12,L12,R12,X12,AD12,AJ12,AP12,AV12,BB12,BH12)</f>
        <v>3</v>
      </c>
      <c r="BU12" s="5" t="n">
        <f aca="false">_xlfn.STDEV.P(G12,M12,S12,Y12,AE12,AK12,AQ12,AW12,BC12,BI12)</f>
        <v>4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20</v>
      </c>
      <c r="D13" s="5" t="n">
        <v>30</v>
      </c>
      <c r="E13" s="5" t="n">
        <v>10</v>
      </c>
      <c r="F13" s="5" t="n">
        <v>20</v>
      </c>
      <c r="G13" s="5" t="n">
        <v>20</v>
      </c>
      <c r="H13" s="5"/>
      <c r="I13" s="5" t="n">
        <v>20</v>
      </c>
      <c r="J13" s="5" t="n">
        <v>30</v>
      </c>
      <c r="K13" s="5" t="n">
        <v>10</v>
      </c>
      <c r="L13" s="5" t="n">
        <v>20</v>
      </c>
      <c r="M13" s="5" t="n">
        <v>20</v>
      </c>
      <c r="N13" s="5"/>
      <c r="O13" s="5" t="n">
        <v>20</v>
      </c>
      <c r="P13" s="5" t="n">
        <v>30</v>
      </c>
      <c r="Q13" s="5" t="n">
        <v>10</v>
      </c>
      <c r="R13" s="5" t="n">
        <v>20</v>
      </c>
      <c r="S13" s="5" t="n">
        <v>20</v>
      </c>
      <c r="T13" s="5"/>
      <c r="U13" s="5" t="n">
        <v>20</v>
      </c>
      <c r="V13" s="5" t="n">
        <v>30</v>
      </c>
      <c r="W13" s="5" t="n">
        <v>10</v>
      </c>
      <c r="X13" s="5" t="n">
        <v>20</v>
      </c>
      <c r="Y13" s="5" t="n">
        <v>20</v>
      </c>
      <c r="Z13" s="5"/>
      <c r="AA13" s="5" t="n">
        <v>20</v>
      </c>
      <c r="AB13" s="5" t="n">
        <v>30</v>
      </c>
      <c r="AC13" s="5" t="n">
        <v>10</v>
      </c>
      <c r="AD13" s="5" t="n">
        <v>20</v>
      </c>
      <c r="AE13" s="5" t="n">
        <v>20</v>
      </c>
      <c r="AF13" s="5"/>
      <c r="AG13" s="5" t="n">
        <v>20</v>
      </c>
      <c r="AH13" s="5" t="n">
        <v>30</v>
      </c>
      <c r="AI13" s="5" t="n">
        <v>20</v>
      </c>
      <c r="AJ13" s="5" t="n">
        <v>20</v>
      </c>
      <c r="AK13" s="5" t="n">
        <v>10</v>
      </c>
      <c r="AL13" s="5"/>
      <c r="AM13" s="5" t="n">
        <v>20</v>
      </c>
      <c r="AN13" s="5" t="n">
        <v>30</v>
      </c>
      <c r="AO13" s="5" t="n">
        <v>20</v>
      </c>
      <c r="AP13" s="5" t="n">
        <v>20</v>
      </c>
      <c r="AQ13" s="5" t="n">
        <v>10</v>
      </c>
      <c r="AR13" s="5"/>
      <c r="AS13" s="5" t="n">
        <v>20</v>
      </c>
      <c r="AT13" s="5" t="n">
        <v>30</v>
      </c>
      <c r="AU13" s="5" t="n">
        <v>10</v>
      </c>
      <c r="AV13" s="5" t="n">
        <v>20</v>
      </c>
      <c r="AW13" s="5" t="n">
        <v>20</v>
      </c>
      <c r="AX13" s="5"/>
      <c r="AY13" s="5" t="n">
        <v>20</v>
      </c>
      <c r="AZ13" s="5" t="n">
        <v>30</v>
      </c>
      <c r="BA13" s="5" t="n">
        <v>10</v>
      </c>
      <c r="BB13" s="5" t="n">
        <v>20</v>
      </c>
      <c r="BC13" s="5" t="n">
        <v>20</v>
      </c>
      <c r="BD13" s="5"/>
      <c r="BE13" s="5" t="n">
        <v>20</v>
      </c>
      <c r="BF13" s="5" t="n">
        <v>30</v>
      </c>
      <c r="BG13" s="5" t="n">
        <v>10</v>
      </c>
      <c r="BH13" s="5" t="n">
        <v>20</v>
      </c>
      <c r="BI13" s="5" t="n">
        <v>20</v>
      </c>
      <c r="BK13" s="5" t="n">
        <f aca="false">AVERAGE(C13,I13,O13,U13,AA13,AG13,AM13,AS13,AY13,BE13)</f>
        <v>20</v>
      </c>
      <c r="BL13" s="5" t="n">
        <f aca="false">AVERAGE(D13,J13,P13,V13,AB13,AH13,AN13,AT13,AZ13,BF13)</f>
        <v>30</v>
      </c>
      <c r="BM13" s="5" t="n">
        <f aca="false">AVERAGE(,E13,K13,Q13,W13,AC13,AI13,AO13,AU13,BA13,BG13)</f>
        <v>10.9090909090909</v>
      </c>
      <c r="BN13" s="5" t="n">
        <f aca="false">AVERAGE(F13,L13,R13,X13,AD13,AJ13,AP13,AV13,BB13,BH13)</f>
        <v>20</v>
      </c>
      <c r="BO13" s="5" t="n">
        <f aca="false">AVERAGE(G13,M13,S13,Y13,AE13,AK13,AQ13,AW13,BC13,BI13)</f>
        <v>18</v>
      </c>
      <c r="BQ13" s="5" t="n">
        <f aca="false">_xlfn.STDEV.P(C13,I13,O13,U13,AA13,AG13,AM13,AS13,AY13,BE13)</f>
        <v>0</v>
      </c>
      <c r="BR13" s="5" t="n">
        <f aca="false">_xlfn.STDEV.P(D13,J13,P13,V13,AB13,AH13,AN13,AT13,AZ13,BF13)</f>
        <v>0</v>
      </c>
      <c r="BS13" s="5" t="n">
        <f aca="false">_xlfn.STDEV.P(,E13,K13,Q13,W13,AC13,AI13,AO13,AU13,BA13,BG13)</f>
        <v>5.1425947722658</v>
      </c>
      <c r="BT13" s="5" t="n">
        <f aca="false">_xlfn.STDEV.P(F13,L13,R13,X13,AD13,AJ13,AP13,AV13,BB13,BH13)</f>
        <v>0</v>
      </c>
      <c r="BU13" s="5" t="n">
        <f aca="false">_xlfn.STDEV.P(G13,M13,S13,Y13,AE13,AK13,AQ13,AW13,BC13,BI13)</f>
        <v>4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20</v>
      </c>
      <c r="D14" s="5" t="n">
        <v>20</v>
      </c>
      <c r="E14" s="5" t="n">
        <v>15</v>
      </c>
      <c r="F14" s="5" t="n">
        <v>25</v>
      </c>
      <c r="G14" s="5" t="n">
        <v>20</v>
      </c>
      <c r="H14" s="5"/>
      <c r="I14" s="5" t="n">
        <v>20</v>
      </c>
      <c r="J14" s="5" t="n">
        <v>30</v>
      </c>
      <c r="K14" s="5" t="n">
        <v>10</v>
      </c>
      <c r="L14" s="5" t="n">
        <v>20</v>
      </c>
      <c r="M14" s="5" t="n">
        <v>20</v>
      </c>
      <c r="N14" s="5"/>
      <c r="O14" s="5" t="n">
        <v>20</v>
      </c>
      <c r="P14" s="5" t="n">
        <v>20</v>
      </c>
      <c r="Q14" s="5" t="n">
        <v>15</v>
      </c>
      <c r="R14" s="5" t="n">
        <v>25</v>
      </c>
      <c r="S14" s="5" t="n">
        <v>20</v>
      </c>
      <c r="T14" s="5"/>
      <c r="U14" s="5" t="n">
        <v>20</v>
      </c>
      <c r="V14" s="5" t="n">
        <v>20</v>
      </c>
      <c r="W14" s="5" t="n">
        <v>15</v>
      </c>
      <c r="X14" s="5" t="n">
        <v>25</v>
      </c>
      <c r="Y14" s="5" t="n">
        <v>20</v>
      </c>
      <c r="Z14" s="5"/>
      <c r="AA14" s="5" t="n">
        <v>20</v>
      </c>
      <c r="AB14" s="5" t="n">
        <v>20</v>
      </c>
      <c r="AC14" s="5" t="n">
        <v>10</v>
      </c>
      <c r="AD14" s="5" t="n">
        <v>20</v>
      </c>
      <c r="AE14" s="5" t="n">
        <v>30</v>
      </c>
      <c r="AF14" s="5"/>
      <c r="AG14" s="5" t="n">
        <v>20</v>
      </c>
      <c r="AH14" s="5" t="n">
        <v>30</v>
      </c>
      <c r="AI14" s="5" t="n">
        <v>10</v>
      </c>
      <c r="AJ14" s="5" t="n">
        <v>20</v>
      </c>
      <c r="AK14" s="5" t="n">
        <v>20</v>
      </c>
      <c r="AL14" s="5"/>
      <c r="AM14" s="5" t="n">
        <v>20</v>
      </c>
      <c r="AN14" s="5" t="n">
        <v>20</v>
      </c>
      <c r="AO14" s="5" t="n">
        <v>15</v>
      </c>
      <c r="AP14" s="5" t="n">
        <v>25</v>
      </c>
      <c r="AQ14" s="5" t="n">
        <v>20</v>
      </c>
      <c r="AR14" s="5"/>
      <c r="AS14" s="5" t="n">
        <v>30</v>
      </c>
      <c r="AT14" s="5" t="n">
        <v>25</v>
      </c>
      <c r="AU14" s="5" t="n">
        <v>20</v>
      </c>
      <c r="AV14" s="5" t="n">
        <v>15</v>
      </c>
      <c r="AW14" s="5" t="n">
        <v>10</v>
      </c>
      <c r="AX14" s="5"/>
      <c r="AY14" s="5" t="n">
        <v>20</v>
      </c>
      <c r="AZ14" s="5" t="n">
        <v>20</v>
      </c>
      <c r="BA14" s="5" t="n">
        <v>15</v>
      </c>
      <c r="BB14" s="5" t="n">
        <v>20</v>
      </c>
      <c r="BC14" s="5" t="n">
        <v>25</v>
      </c>
      <c r="BD14" s="5"/>
      <c r="BE14" s="5" t="n">
        <v>20</v>
      </c>
      <c r="BF14" s="5" t="n">
        <v>20</v>
      </c>
      <c r="BG14" s="5" t="n">
        <v>15</v>
      </c>
      <c r="BH14" s="5" t="n">
        <v>25</v>
      </c>
      <c r="BI14" s="5" t="n">
        <v>20</v>
      </c>
      <c r="BK14" s="5" t="n">
        <f aca="false">AVERAGE(C14,I14,O14,U14,AA14,AG14,AM14,AS14,AY14,BE14)</f>
        <v>21</v>
      </c>
      <c r="BL14" s="5" t="n">
        <f aca="false">AVERAGE(D14,J14,P14,V14,AB14,AH14,AN14,AT14,AZ14,BF14)</f>
        <v>22.5</v>
      </c>
      <c r="BM14" s="5" t="n">
        <f aca="false">AVERAGE(,E14,K14,Q14,W14,AC14,AI14,AO14,AU14,BA14,BG14)</f>
        <v>12.7272727272727</v>
      </c>
      <c r="BN14" s="5" t="n">
        <f aca="false">AVERAGE(F14,L14,R14,X14,AD14,AJ14,AP14,AV14,BB14,BH14)</f>
        <v>22</v>
      </c>
      <c r="BO14" s="5" t="n">
        <f aca="false">AVERAGE(G14,M14,S14,Y14,AE14,AK14,AQ14,AW14,BC14,BI14)</f>
        <v>20.5</v>
      </c>
      <c r="BQ14" s="5" t="n">
        <f aca="false">_xlfn.STDEV.P(C14,I14,O14,U14,AA14,AG14,AM14,AS14,AY14,BE14)</f>
        <v>3</v>
      </c>
      <c r="BR14" s="5" t="n">
        <f aca="false">_xlfn.STDEV.P(D14,J14,P14,V14,AB14,AH14,AN14,AT14,AZ14,BF14)</f>
        <v>4.03112887414928</v>
      </c>
      <c r="BS14" s="5" t="n">
        <f aca="false">_xlfn.STDEV.P(,E14,K14,Q14,W14,AC14,AI14,AO14,AU14,BA14,BG14)</f>
        <v>4.9376274960001</v>
      </c>
      <c r="BT14" s="5" t="n">
        <f aca="false">_xlfn.STDEV.P(F14,L14,R14,X14,AD14,AJ14,AP14,AV14,BB14,BH14)</f>
        <v>3.3166247903554</v>
      </c>
      <c r="BU14" s="5" t="n">
        <f aca="false">_xlfn.STDEV.P(G14,M14,S14,Y14,AE14,AK14,AQ14,AW14,BC14,BI14)</f>
        <v>4.7169905660283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20</v>
      </c>
      <c r="D15" s="5" t="n">
        <v>30</v>
      </c>
      <c r="E15" s="5" t="n">
        <v>10</v>
      </c>
      <c r="F15" s="5" t="n">
        <v>20</v>
      </c>
      <c r="G15" s="5" t="n">
        <v>20</v>
      </c>
      <c r="H15" s="5"/>
      <c r="I15" s="5" t="n">
        <v>20</v>
      </c>
      <c r="J15" s="5" t="n">
        <v>30</v>
      </c>
      <c r="K15" s="5" t="n">
        <v>10</v>
      </c>
      <c r="L15" s="5" t="n">
        <v>20</v>
      </c>
      <c r="M15" s="5" t="n">
        <v>20</v>
      </c>
      <c r="N15" s="5"/>
      <c r="O15" s="5" t="n">
        <v>20</v>
      </c>
      <c r="P15" s="5" t="n">
        <v>30</v>
      </c>
      <c r="Q15" s="5" t="n">
        <v>10</v>
      </c>
      <c r="R15" s="5" t="n">
        <v>20</v>
      </c>
      <c r="S15" s="5" t="n">
        <v>20</v>
      </c>
      <c r="T15" s="5"/>
      <c r="U15" s="5" t="n">
        <v>20</v>
      </c>
      <c r="V15" s="5" t="n">
        <v>30</v>
      </c>
      <c r="W15" s="5" t="n">
        <v>20</v>
      </c>
      <c r="X15" s="5" t="n">
        <v>20</v>
      </c>
      <c r="Y15" s="5" t="n">
        <v>10</v>
      </c>
      <c r="Z15" s="5"/>
      <c r="AA15" s="5" t="n">
        <v>20</v>
      </c>
      <c r="AB15" s="5" t="n">
        <v>30</v>
      </c>
      <c r="AC15" s="5" t="n">
        <v>20</v>
      </c>
      <c r="AD15" s="5" t="n">
        <v>20</v>
      </c>
      <c r="AE15" s="5" t="n">
        <v>10</v>
      </c>
      <c r="AF15" s="5"/>
      <c r="AG15" s="5" t="n">
        <v>20</v>
      </c>
      <c r="AH15" s="5" t="n">
        <v>30</v>
      </c>
      <c r="AI15" s="5" t="n">
        <v>10</v>
      </c>
      <c r="AJ15" s="5" t="n">
        <v>20</v>
      </c>
      <c r="AK15" s="5" t="n">
        <v>20</v>
      </c>
      <c r="AL15" s="5"/>
      <c r="AM15" s="5" t="n">
        <v>20</v>
      </c>
      <c r="AN15" s="5" t="n">
        <v>30</v>
      </c>
      <c r="AO15" s="5" t="n">
        <v>20</v>
      </c>
      <c r="AP15" s="5" t="n">
        <v>20</v>
      </c>
      <c r="AQ15" s="5" t="n">
        <v>10</v>
      </c>
      <c r="AR15" s="5"/>
      <c r="AS15" s="5" t="n">
        <v>20</v>
      </c>
      <c r="AT15" s="5" t="n">
        <v>30</v>
      </c>
      <c r="AU15" s="5" t="n">
        <v>10</v>
      </c>
      <c r="AV15" s="5" t="n">
        <v>20</v>
      </c>
      <c r="AW15" s="5" t="n">
        <v>20</v>
      </c>
      <c r="AX15" s="5"/>
      <c r="AY15" s="5" t="n">
        <v>20</v>
      </c>
      <c r="AZ15" s="5" t="n">
        <v>30</v>
      </c>
      <c r="BA15" s="5" t="n">
        <v>10</v>
      </c>
      <c r="BB15" s="5" t="n">
        <v>20</v>
      </c>
      <c r="BC15" s="5" t="n">
        <v>20</v>
      </c>
      <c r="BD15" s="5"/>
      <c r="BE15" s="5" t="n">
        <v>20</v>
      </c>
      <c r="BF15" s="5" t="n">
        <v>30</v>
      </c>
      <c r="BG15" s="5" t="n">
        <v>20</v>
      </c>
      <c r="BH15" s="5" t="n">
        <v>20</v>
      </c>
      <c r="BI15" s="5" t="n">
        <v>10</v>
      </c>
      <c r="BK15" s="5" t="n">
        <f aca="false">AVERAGE(C15,I15,O15,U15,AA15,AG15,AM15,AS15,AY15,BE15)</f>
        <v>20</v>
      </c>
      <c r="BL15" s="5" t="n">
        <f aca="false">AVERAGE(D15,J15,P15,V15,AB15,AH15,AN15,AT15,AZ15,BF15)</f>
        <v>30</v>
      </c>
      <c r="BM15" s="5" t="n">
        <f aca="false">AVERAGE(,E15,K15,Q15,W15,AC15,AI15,AO15,AU15,BA15,BG15)</f>
        <v>12.7272727272727</v>
      </c>
      <c r="BN15" s="5" t="n">
        <f aca="false">AVERAGE(F15,L15,R15,X15,AD15,AJ15,AP15,AV15,BB15,BH15)</f>
        <v>20</v>
      </c>
      <c r="BO15" s="5" t="n">
        <f aca="false">AVERAGE(G15,M15,S15,Y15,AE15,AK15,AQ15,AW15,BC15,BI15)</f>
        <v>16</v>
      </c>
      <c r="BQ15" s="5" t="n">
        <f aca="false">_xlfn.STDEV.P(C15,I15,O15,U15,AA15,AG15,AM15,AS15,AY15,BE15)</f>
        <v>0</v>
      </c>
      <c r="BR15" s="5" t="n">
        <f aca="false">_xlfn.STDEV.P(D15,J15,P15,V15,AB15,AH15,AN15,AT15,AZ15,BF15)</f>
        <v>0</v>
      </c>
      <c r="BS15" s="5" t="n">
        <f aca="false">_xlfn.STDEV.P(,E15,K15,Q15,W15,AC15,AI15,AO15,AU15,BA15,BG15)</f>
        <v>6.16575453011388</v>
      </c>
      <c r="BT15" s="5" t="n">
        <f aca="false">_xlfn.STDEV.P(F15,L15,R15,X15,AD15,AJ15,AP15,AV15,BB15,BH15)</f>
        <v>0</v>
      </c>
      <c r="BU15" s="5" t="n">
        <f aca="false">_xlfn.STDEV.P(G15,M15,S15,Y15,AE15,AK15,AQ15,AW15,BC15,BI15)</f>
        <v>4.89897948556636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20</v>
      </c>
      <c r="D16" s="5" t="n">
        <v>20</v>
      </c>
      <c r="E16" s="5" t="n">
        <v>20</v>
      </c>
      <c r="F16" s="5" t="n">
        <v>20</v>
      </c>
      <c r="G16" s="5" t="n">
        <v>20</v>
      </c>
      <c r="H16" s="5"/>
      <c r="I16" s="5" t="n">
        <v>0</v>
      </c>
      <c r="J16" s="5" t="n">
        <v>0</v>
      </c>
      <c r="K16" s="5" t="n">
        <v>0</v>
      </c>
      <c r="L16" s="5" t="n">
        <v>0</v>
      </c>
      <c r="M16" s="5" t="n">
        <v>100</v>
      </c>
      <c r="N16" s="5"/>
      <c r="O16" s="5" t="n">
        <v>30</v>
      </c>
      <c r="P16" s="5" t="n">
        <v>30</v>
      </c>
      <c r="Q16" s="5" t="n">
        <v>10</v>
      </c>
      <c r="R16" s="5" t="n">
        <v>20</v>
      </c>
      <c r="S16" s="5" t="n">
        <v>10</v>
      </c>
      <c r="T16" s="5"/>
      <c r="U16" s="5" t="n">
        <v>0</v>
      </c>
      <c r="V16" s="5" t="n">
        <v>0</v>
      </c>
      <c r="W16" s="5" t="n">
        <v>0</v>
      </c>
      <c r="X16" s="5" t="n">
        <v>0</v>
      </c>
      <c r="Y16" s="5" t="n">
        <v>100</v>
      </c>
      <c r="Z16" s="5"/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100</v>
      </c>
      <c r="AF16" s="5"/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100</v>
      </c>
      <c r="AL16" s="5"/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100</v>
      </c>
      <c r="AR16" s="5"/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100</v>
      </c>
      <c r="AX16" s="5"/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100</v>
      </c>
      <c r="BD16" s="5"/>
      <c r="BE16" s="5" t="n">
        <v>20</v>
      </c>
      <c r="BF16" s="5" t="n">
        <v>20</v>
      </c>
      <c r="BG16" s="5" t="n">
        <v>20</v>
      </c>
      <c r="BH16" s="5" t="n">
        <v>20</v>
      </c>
      <c r="BI16" s="5" t="n">
        <v>20</v>
      </c>
      <c r="BK16" s="5" t="n">
        <f aca="false">AVERAGE(C16,I16,O16,U16,AA16,AG16,AM16,AS16,AY16,BE16)</f>
        <v>7</v>
      </c>
      <c r="BL16" s="5" t="n">
        <f aca="false">AVERAGE(D16,J16,P16,V16,AB16,AH16,AN16,AT16,AZ16,BF16)</f>
        <v>7</v>
      </c>
      <c r="BM16" s="5" t="n">
        <f aca="false">AVERAGE(,E16,K16,Q16,W16,AC16,AI16,AO16,AU16,BA16,BG16)</f>
        <v>4.54545454545455</v>
      </c>
      <c r="BN16" s="5" t="n">
        <f aca="false">AVERAGE(F16,L16,R16,X16,AD16,AJ16,AP16,AV16,BB16,BH16)</f>
        <v>6</v>
      </c>
      <c r="BO16" s="5" t="n">
        <f aca="false">AVERAGE(G16,M16,S16,Y16,AE16,AK16,AQ16,AW16,BC16,BI16)</f>
        <v>75</v>
      </c>
      <c r="BQ16" s="5" t="n">
        <f aca="false">_xlfn.STDEV.P(C16,I16,O16,U16,AA16,AG16,AM16,AS16,AY16,BE16)</f>
        <v>11</v>
      </c>
      <c r="BR16" s="5" t="n">
        <f aca="false">_xlfn.STDEV.P(D16,J16,P16,V16,AB16,AH16,AN16,AT16,AZ16,BF16)</f>
        <v>11</v>
      </c>
      <c r="BS16" s="5" t="n">
        <f aca="false">_xlfn.STDEV.P(,E16,K16,Q16,W16,AC16,AI16,AO16,AU16,BA16,BG16)</f>
        <v>7.82029569731148</v>
      </c>
      <c r="BT16" s="5" t="n">
        <f aca="false">_xlfn.STDEV.P(F16,L16,R16,X16,AD16,AJ16,AP16,AV16,BB16,BH16)</f>
        <v>9.16515138991168</v>
      </c>
      <c r="BU16" s="5" t="n">
        <f aca="false">_xlfn.STDEV.P(G16,M16,S16,Y16,AE16,AK16,AQ16,AW16,BC16,BI16)</f>
        <v>38.2753184180093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20</v>
      </c>
      <c r="D17" s="5" t="n">
        <v>30</v>
      </c>
      <c r="E17" s="5" t="n">
        <v>10</v>
      </c>
      <c r="F17" s="5" t="n">
        <v>20</v>
      </c>
      <c r="G17" s="5" t="n">
        <v>20</v>
      </c>
      <c r="H17" s="5"/>
      <c r="I17" s="5" t="n">
        <v>30</v>
      </c>
      <c r="J17" s="5" t="n">
        <v>30</v>
      </c>
      <c r="K17" s="5" t="n">
        <v>20</v>
      </c>
      <c r="L17" s="5" t="n">
        <v>20</v>
      </c>
      <c r="M17" s="5" t="n">
        <v>0</v>
      </c>
      <c r="N17" s="5"/>
      <c r="O17" s="5" t="n">
        <v>30</v>
      </c>
      <c r="P17" s="5" t="n">
        <v>20</v>
      </c>
      <c r="Q17" s="5" t="n">
        <v>10</v>
      </c>
      <c r="R17" s="5" t="n">
        <v>20</v>
      </c>
      <c r="S17" s="5" t="n">
        <v>20</v>
      </c>
      <c r="T17" s="5"/>
      <c r="U17" s="5" t="n">
        <v>20</v>
      </c>
      <c r="V17" s="5" t="n">
        <v>30</v>
      </c>
      <c r="W17" s="5" t="n">
        <v>10</v>
      </c>
      <c r="X17" s="5" t="n">
        <v>20</v>
      </c>
      <c r="Y17" s="5" t="n">
        <v>20</v>
      </c>
      <c r="Z17" s="5"/>
      <c r="AA17" s="5" t="n">
        <v>20</v>
      </c>
      <c r="AB17" s="5" t="n">
        <v>30</v>
      </c>
      <c r="AC17" s="5" t="n">
        <v>10</v>
      </c>
      <c r="AD17" s="5" t="n">
        <v>20</v>
      </c>
      <c r="AE17" s="5" t="n">
        <v>20</v>
      </c>
      <c r="AF17" s="5"/>
      <c r="AG17" s="5" t="n">
        <v>20</v>
      </c>
      <c r="AH17" s="5" t="n">
        <v>30</v>
      </c>
      <c r="AI17" s="5" t="n">
        <v>10</v>
      </c>
      <c r="AJ17" s="5" t="n">
        <v>20</v>
      </c>
      <c r="AK17" s="5" t="n">
        <v>20</v>
      </c>
      <c r="AL17" s="5"/>
      <c r="AM17" s="5" t="n">
        <v>30</v>
      </c>
      <c r="AN17" s="5" t="n">
        <v>20</v>
      </c>
      <c r="AO17" s="5" t="n">
        <v>15</v>
      </c>
      <c r="AP17" s="5" t="n">
        <v>20</v>
      </c>
      <c r="AQ17" s="5" t="n">
        <v>15</v>
      </c>
      <c r="AR17" s="5"/>
      <c r="AS17" s="5" t="n">
        <v>20</v>
      </c>
      <c r="AT17" s="5" t="n">
        <v>30</v>
      </c>
      <c r="AU17" s="5" t="n">
        <v>10</v>
      </c>
      <c r="AV17" s="5" t="n">
        <v>20</v>
      </c>
      <c r="AW17" s="5" t="n">
        <v>20</v>
      </c>
      <c r="AX17" s="5"/>
      <c r="AY17" s="5" t="n">
        <v>30</v>
      </c>
      <c r="AZ17" s="5" t="n">
        <v>25</v>
      </c>
      <c r="BA17" s="5" t="n">
        <v>15</v>
      </c>
      <c r="BB17" s="5" t="n">
        <v>20</v>
      </c>
      <c r="BC17" s="5" t="n">
        <v>10</v>
      </c>
      <c r="BD17" s="5"/>
      <c r="BE17" s="5" t="n">
        <v>20</v>
      </c>
      <c r="BF17" s="5" t="n">
        <v>30</v>
      </c>
      <c r="BG17" s="5" t="n">
        <v>10</v>
      </c>
      <c r="BH17" s="5" t="n">
        <v>20</v>
      </c>
      <c r="BI17" s="5" t="n">
        <v>20</v>
      </c>
      <c r="BK17" s="5" t="n">
        <f aca="false">AVERAGE(C17,I17,O17,U17,AA17,AG17,AM17,AS17,AY17,BE17)</f>
        <v>24</v>
      </c>
      <c r="BL17" s="5" t="n">
        <f aca="false">AVERAGE(D17,J17,P17,V17,AB17,AH17,AN17,AT17,AZ17,BF17)</f>
        <v>27.5</v>
      </c>
      <c r="BM17" s="5" t="n">
        <f aca="false">AVERAGE(,E17,K17,Q17,W17,AC17,AI17,AO17,AU17,BA17,BG17)</f>
        <v>10.9090909090909</v>
      </c>
      <c r="BN17" s="5" t="n">
        <f aca="false">AVERAGE(F17,L17,R17,X17,AD17,AJ17,AP17,AV17,BB17,BH17)</f>
        <v>20</v>
      </c>
      <c r="BO17" s="5" t="n">
        <f aca="false">AVERAGE(G17,M17,S17,Y17,AE17,AK17,AQ17,AW17,BC17,BI17)</f>
        <v>16.5</v>
      </c>
      <c r="BQ17" s="5" t="n">
        <f aca="false">_xlfn.STDEV.P(C17,I17,O17,U17,AA17,AG17,AM17,AS17,AY17,BE17)</f>
        <v>4.89897948556636</v>
      </c>
      <c r="BR17" s="5" t="n">
        <f aca="false">_xlfn.STDEV.P(D17,J17,P17,V17,AB17,AH17,AN17,AT17,AZ17,BF17)</f>
        <v>4.03112887414928</v>
      </c>
      <c r="BS17" s="5" t="n">
        <f aca="false">_xlfn.STDEV.P(,E17,K17,Q17,W17,AC17,AI17,AO17,AU17,BA17,BG17)</f>
        <v>4.67983188226682</v>
      </c>
      <c r="BT17" s="5" t="n">
        <f aca="false">_xlfn.STDEV.P(F17,L17,R17,X17,AD17,AJ17,AP17,AV17,BB17,BH17)</f>
        <v>0</v>
      </c>
      <c r="BU17" s="5" t="n">
        <f aca="false">_xlfn.STDEV.P(G17,M17,S17,Y17,AE17,AK17,AQ17,AW17,BC17,BI17)</f>
        <v>6.34428877022476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20</v>
      </c>
      <c r="D18" s="5" t="n">
        <v>30</v>
      </c>
      <c r="E18" s="5" t="n">
        <v>10</v>
      </c>
      <c r="F18" s="5" t="n">
        <v>20</v>
      </c>
      <c r="G18" s="5" t="n">
        <v>20</v>
      </c>
      <c r="H18" s="5"/>
      <c r="I18" s="5" t="n">
        <v>20</v>
      </c>
      <c r="J18" s="5" t="n">
        <v>30</v>
      </c>
      <c r="K18" s="5" t="n">
        <v>10</v>
      </c>
      <c r="L18" s="5" t="n">
        <v>20</v>
      </c>
      <c r="M18" s="5" t="n">
        <v>20</v>
      </c>
      <c r="N18" s="5"/>
      <c r="O18" s="5" t="n">
        <v>30</v>
      </c>
      <c r="P18" s="5" t="n">
        <v>20</v>
      </c>
      <c r="Q18" s="5" t="n">
        <v>20</v>
      </c>
      <c r="R18" s="5" t="n">
        <v>20</v>
      </c>
      <c r="S18" s="5" t="n">
        <v>10</v>
      </c>
      <c r="T18" s="5"/>
      <c r="U18" s="5" t="n">
        <v>20</v>
      </c>
      <c r="V18" s="5" t="n">
        <v>30</v>
      </c>
      <c r="W18" s="5" t="n">
        <v>10</v>
      </c>
      <c r="X18" s="5" t="n">
        <v>20</v>
      </c>
      <c r="Y18" s="5" t="n">
        <v>20</v>
      </c>
      <c r="Z18" s="5"/>
      <c r="AA18" s="5" t="n">
        <v>20</v>
      </c>
      <c r="AB18" s="5" t="n">
        <v>30</v>
      </c>
      <c r="AC18" s="5" t="n">
        <v>20</v>
      </c>
      <c r="AD18" s="5" t="n">
        <v>20</v>
      </c>
      <c r="AE18" s="5" t="n">
        <v>10</v>
      </c>
      <c r="AF18" s="5"/>
      <c r="AG18" s="5" t="n">
        <v>30</v>
      </c>
      <c r="AH18" s="5" t="n">
        <v>20</v>
      </c>
      <c r="AI18" s="5" t="n">
        <v>20</v>
      </c>
      <c r="AJ18" s="5" t="n">
        <v>20</v>
      </c>
      <c r="AK18" s="5" t="n">
        <v>10</v>
      </c>
      <c r="AL18" s="5"/>
      <c r="AM18" s="5" t="n">
        <v>30</v>
      </c>
      <c r="AN18" s="5" t="n">
        <v>20</v>
      </c>
      <c r="AO18" s="5" t="n">
        <v>10</v>
      </c>
      <c r="AP18" s="5" t="n">
        <v>20</v>
      </c>
      <c r="AQ18" s="5" t="n">
        <v>20</v>
      </c>
      <c r="AR18" s="5"/>
      <c r="AS18" s="5" t="n">
        <v>20</v>
      </c>
      <c r="AT18" s="5" t="n">
        <v>30</v>
      </c>
      <c r="AU18" s="5" t="n">
        <v>10</v>
      </c>
      <c r="AV18" s="5" t="n">
        <v>20</v>
      </c>
      <c r="AW18" s="5" t="n">
        <v>20</v>
      </c>
      <c r="AX18" s="5"/>
      <c r="AY18" s="5" t="n">
        <v>30</v>
      </c>
      <c r="AZ18" s="5" t="n">
        <v>20</v>
      </c>
      <c r="BA18" s="5" t="n">
        <v>20</v>
      </c>
      <c r="BB18" s="5" t="n">
        <v>20</v>
      </c>
      <c r="BC18" s="5" t="n">
        <v>10</v>
      </c>
      <c r="BD18" s="5"/>
      <c r="BE18" s="5" t="n">
        <v>20</v>
      </c>
      <c r="BF18" s="5" t="n">
        <v>20</v>
      </c>
      <c r="BG18" s="5" t="n">
        <v>20</v>
      </c>
      <c r="BH18" s="5" t="n">
        <v>20</v>
      </c>
      <c r="BI18" s="5" t="n">
        <v>20</v>
      </c>
      <c r="BK18" s="5" t="n">
        <f aca="false">AVERAGE(C18,I18,O18,U18,AA18,AG18,AM18,AS18,AY18,BE18)</f>
        <v>24</v>
      </c>
      <c r="BL18" s="5" t="n">
        <f aca="false">AVERAGE(D18,J18,P18,V18,AB18,AH18,AN18,AT18,AZ18,BF18)</f>
        <v>25</v>
      </c>
      <c r="BM18" s="5" t="n">
        <f aca="false">AVERAGE(,E18,K18,Q18,W18,AC18,AI18,AO18,AU18,BA18,BG18)</f>
        <v>13.6363636363636</v>
      </c>
      <c r="BN18" s="5" t="n">
        <f aca="false">AVERAGE(F18,L18,R18,X18,AD18,AJ18,AP18,AV18,BB18,BH18)</f>
        <v>20</v>
      </c>
      <c r="BO18" s="5" t="n">
        <f aca="false">AVERAGE(G18,M18,S18,Y18,AE18,AK18,AQ18,AW18,BC18,BI18)</f>
        <v>16</v>
      </c>
      <c r="BQ18" s="5" t="n">
        <f aca="false">_xlfn.STDEV.P(C18,I18,O18,U18,AA18,AG18,AM18,AS18,AY18,BE18)</f>
        <v>4.89897948556636</v>
      </c>
      <c r="BR18" s="5" t="n">
        <f aca="false">_xlfn.STDEV.P(D18,J18,P18,V18,AB18,AH18,AN18,AT18,AZ18,BF18)</f>
        <v>5</v>
      </c>
      <c r="BS18" s="5" t="n">
        <f aca="false">_xlfn.STDEV.P(,E18,K18,Q18,W18,AC18,AI18,AO18,AU18,BA18,BG18)</f>
        <v>6.42824346533225</v>
      </c>
      <c r="BT18" s="5" t="n">
        <f aca="false">_xlfn.STDEV.P(F18,L18,R18,X18,AD18,AJ18,AP18,AV18,BB18,BH18)</f>
        <v>0</v>
      </c>
      <c r="BU18" s="5" t="n">
        <f aca="false">_xlfn.STDEV.P(G18,M18,S18,Y18,AE18,AK18,AQ18,AW18,BC18,BI18)</f>
        <v>4.89897948556636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30</v>
      </c>
      <c r="D19" s="5" t="n">
        <v>30</v>
      </c>
      <c r="E19" s="5" t="n">
        <v>20</v>
      </c>
      <c r="F19" s="5" t="n">
        <v>20</v>
      </c>
      <c r="G19" s="5" t="n">
        <v>0</v>
      </c>
      <c r="H19" s="5"/>
      <c r="I19" s="5" t="n">
        <v>20</v>
      </c>
      <c r="J19" s="5" t="n">
        <v>20</v>
      </c>
      <c r="K19" s="5" t="n">
        <v>20</v>
      </c>
      <c r="L19" s="5" t="n">
        <v>20</v>
      </c>
      <c r="M19" s="5" t="n">
        <v>20</v>
      </c>
      <c r="N19" s="5"/>
      <c r="O19" s="5" t="n">
        <v>30</v>
      </c>
      <c r="P19" s="5" t="n">
        <v>30</v>
      </c>
      <c r="Q19" s="5" t="n">
        <v>10</v>
      </c>
      <c r="R19" s="5" t="n">
        <v>20</v>
      </c>
      <c r="S19" s="5" t="n">
        <v>10</v>
      </c>
      <c r="T19" s="5"/>
      <c r="U19" s="5" t="n">
        <v>20</v>
      </c>
      <c r="V19" s="5" t="n">
        <v>20</v>
      </c>
      <c r="W19" s="5" t="n">
        <v>20</v>
      </c>
      <c r="X19" s="5" t="n">
        <v>20</v>
      </c>
      <c r="Y19" s="5" t="n">
        <v>20</v>
      </c>
      <c r="Z19" s="5"/>
      <c r="AA19" s="5" t="n">
        <v>20</v>
      </c>
      <c r="AB19" s="5" t="n">
        <v>20</v>
      </c>
      <c r="AC19" s="5" t="n">
        <v>20</v>
      </c>
      <c r="AD19" s="5" t="n">
        <v>20</v>
      </c>
      <c r="AE19" s="5" t="n">
        <v>20</v>
      </c>
      <c r="AF19" s="5"/>
      <c r="AG19" s="5" t="n">
        <v>30</v>
      </c>
      <c r="AH19" s="5" t="n">
        <v>30</v>
      </c>
      <c r="AI19" s="5" t="n">
        <v>20</v>
      </c>
      <c r="AJ19" s="5" t="n">
        <v>20</v>
      </c>
      <c r="AK19" s="5" t="n">
        <v>0</v>
      </c>
      <c r="AL19" s="5"/>
      <c r="AM19" s="5" t="n">
        <v>20</v>
      </c>
      <c r="AN19" s="5" t="n">
        <v>20</v>
      </c>
      <c r="AO19" s="5" t="n">
        <v>20</v>
      </c>
      <c r="AP19" s="5" t="n">
        <v>20</v>
      </c>
      <c r="AQ19" s="5" t="n">
        <v>20</v>
      </c>
      <c r="AR19" s="5"/>
      <c r="AS19" s="5" t="n">
        <v>20</v>
      </c>
      <c r="AT19" s="5" t="n">
        <v>20</v>
      </c>
      <c r="AU19" s="5" t="n">
        <v>20</v>
      </c>
      <c r="AV19" s="5" t="n">
        <v>20</v>
      </c>
      <c r="AW19" s="5" t="n">
        <v>20</v>
      </c>
      <c r="AX19" s="5"/>
      <c r="AY19" s="5" t="n">
        <v>20</v>
      </c>
      <c r="AZ19" s="5" t="n">
        <v>20</v>
      </c>
      <c r="BA19" s="5" t="n">
        <v>20</v>
      </c>
      <c r="BB19" s="5" t="n">
        <v>20</v>
      </c>
      <c r="BC19" s="5" t="n">
        <v>20</v>
      </c>
      <c r="BD19" s="5"/>
      <c r="BE19" s="5" t="n">
        <v>20</v>
      </c>
      <c r="BF19" s="5" t="n">
        <v>20</v>
      </c>
      <c r="BG19" s="5" t="n">
        <v>20</v>
      </c>
      <c r="BH19" s="5" t="n">
        <v>20</v>
      </c>
      <c r="BI19" s="5" t="n">
        <v>20</v>
      </c>
      <c r="BK19" s="5" t="n">
        <f aca="false">AVERAGE(C19,I19,O19,U19,AA19,AG19,AM19,AS19,AY19,BE19)</f>
        <v>23</v>
      </c>
      <c r="BL19" s="5" t="n">
        <f aca="false">AVERAGE(D19,J19,P19,V19,AB19,AH19,AN19,AT19,AZ19,BF19)</f>
        <v>23</v>
      </c>
      <c r="BM19" s="5" t="n">
        <f aca="false">AVERAGE(,E19,K19,Q19,W19,AC19,AI19,AO19,AU19,BA19,BG19)</f>
        <v>17.2727272727273</v>
      </c>
      <c r="BN19" s="5" t="n">
        <f aca="false">AVERAGE(F19,L19,R19,X19,AD19,AJ19,AP19,AV19,BB19,BH19)</f>
        <v>20</v>
      </c>
      <c r="BO19" s="5" t="n">
        <f aca="false">AVERAGE(G19,M19,S19,Y19,AE19,AK19,AQ19,AW19,BC19,BI19)</f>
        <v>15</v>
      </c>
      <c r="BQ19" s="5" t="n">
        <f aca="false">_xlfn.STDEV.P(C19,I19,O19,U19,AA19,AG19,AM19,AS19,AY19,BE19)</f>
        <v>4.58257569495584</v>
      </c>
      <c r="BR19" s="5" t="n">
        <f aca="false">_xlfn.STDEV.P(D19,J19,P19,V19,AB19,AH19,AN19,AT19,AZ19,BF19)</f>
        <v>4.58257569495584</v>
      </c>
      <c r="BS19" s="5" t="n">
        <f aca="false">_xlfn.STDEV.P(,E19,K19,Q19,W19,AC19,AI19,AO19,AU19,BA19,BG19)</f>
        <v>6.16575453011388</v>
      </c>
      <c r="BT19" s="5" t="n">
        <f aca="false">_xlfn.STDEV.P(F19,L19,R19,X19,AD19,AJ19,AP19,AV19,BB19,BH19)</f>
        <v>0</v>
      </c>
      <c r="BU19" s="5" t="n">
        <f aca="false">_xlfn.STDEV.P(G19,M19,S19,Y19,AE19,AK19,AQ19,AW19,BC19,BI19)</f>
        <v>8.06225774829855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30</v>
      </c>
      <c r="D20" s="5" t="n">
        <v>30</v>
      </c>
      <c r="E20" s="5" t="n">
        <v>10</v>
      </c>
      <c r="F20" s="5" t="n">
        <v>20</v>
      </c>
      <c r="G20" s="5" t="n">
        <v>10</v>
      </c>
      <c r="H20" s="5"/>
      <c r="I20" s="5" t="n">
        <v>30</v>
      </c>
      <c r="J20" s="5" t="n">
        <v>30</v>
      </c>
      <c r="K20" s="5" t="n">
        <v>10</v>
      </c>
      <c r="L20" s="5" t="n">
        <v>20</v>
      </c>
      <c r="M20" s="5" t="n">
        <v>10</v>
      </c>
      <c r="N20" s="5"/>
      <c r="O20" s="5" t="n">
        <v>30</v>
      </c>
      <c r="P20" s="5" t="n">
        <v>30</v>
      </c>
      <c r="Q20" s="5" t="n">
        <v>10</v>
      </c>
      <c r="R20" s="5" t="n">
        <v>20</v>
      </c>
      <c r="S20" s="5" t="n">
        <v>10</v>
      </c>
      <c r="T20" s="5"/>
      <c r="U20" s="5" t="n">
        <v>30</v>
      </c>
      <c r="V20" s="5" t="n">
        <v>30</v>
      </c>
      <c r="W20" s="5" t="n">
        <v>10</v>
      </c>
      <c r="X20" s="5" t="n">
        <v>20</v>
      </c>
      <c r="Y20" s="5" t="n">
        <v>10</v>
      </c>
      <c r="Z20" s="5"/>
      <c r="AA20" s="5" t="n">
        <v>30</v>
      </c>
      <c r="AB20" s="5" t="n">
        <v>25</v>
      </c>
      <c r="AC20" s="5" t="n">
        <v>15</v>
      </c>
      <c r="AD20" s="5" t="n">
        <v>20</v>
      </c>
      <c r="AE20" s="5" t="n">
        <v>10</v>
      </c>
      <c r="AF20" s="5"/>
      <c r="AG20" s="5" t="n">
        <v>30</v>
      </c>
      <c r="AH20" s="5" t="n">
        <v>30</v>
      </c>
      <c r="AI20" s="5" t="n">
        <v>10</v>
      </c>
      <c r="AJ20" s="5" t="n">
        <v>20</v>
      </c>
      <c r="AK20" s="5" t="n">
        <v>10</v>
      </c>
      <c r="AL20" s="5"/>
      <c r="AM20" s="5" t="n">
        <v>30</v>
      </c>
      <c r="AN20" s="5" t="n">
        <v>30</v>
      </c>
      <c r="AO20" s="5" t="n">
        <v>10</v>
      </c>
      <c r="AP20" s="5" t="n">
        <v>20</v>
      </c>
      <c r="AQ20" s="5" t="n">
        <v>10</v>
      </c>
      <c r="AR20" s="5"/>
      <c r="AS20" s="5" t="n">
        <v>30</v>
      </c>
      <c r="AT20" s="5" t="n">
        <v>25</v>
      </c>
      <c r="AU20" s="5" t="n">
        <v>15</v>
      </c>
      <c r="AV20" s="5" t="n">
        <v>20</v>
      </c>
      <c r="AW20" s="5" t="n">
        <v>10</v>
      </c>
      <c r="AX20" s="5"/>
      <c r="AY20" s="5" t="n">
        <v>30</v>
      </c>
      <c r="AZ20" s="5" t="n">
        <v>25</v>
      </c>
      <c r="BA20" s="5" t="n">
        <v>15</v>
      </c>
      <c r="BB20" s="5" t="n">
        <v>20</v>
      </c>
      <c r="BC20" s="5" t="n">
        <v>10</v>
      </c>
      <c r="BD20" s="5"/>
      <c r="BE20" s="5" t="n">
        <v>30</v>
      </c>
      <c r="BF20" s="5" t="n">
        <v>30</v>
      </c>
      <c r="BG20" s="5" t="n">
        <v>10</v>
      </c>
      <c r="BH20" s="5" t="n">
        <v>20</v>
      </c>
      <c r="BI20" s="5" t="n">
        <v>10</v>
      </c>
      <c r="BK20" s="5" t="n">
        <f aca="false">AVERAGE(C20,I20,O20,U20,AA20,AG20,AM20,AS20,AY20,BE20)</f>
        <v>30</v>
      </c>
      <c r="BL20" s="5" t="n">
        <f aca="false">AVERAGE(D20,J20,P20,V20,AB20,AH20,AN20,AT20,AZ20,BF20)</f>
        <v>28.5</v>
      </c>
      <c r="BM20" s="5" t="n">
        <f aca="false">AVERAGE(,E20,K20,Q20,W20,AC20,AI20,AO20,AU20,BA20,BG20)</f>
        <v>10.4545454545455</v>
      </c>
      <c r="BN20" s="5" t="n">
        <f aca="false">AVERAGE(F20,L20,R20,X20,AD20,AJ20,AP20,AV20,BB20,BH20)</f>
        <v>20</v>
      </c>
      <c r="BO20" s="5" t="n">
        <f aca="false">AVERAGE(G20,M20,S20,Y20,AE20,AK20,AQ20,AW20,BC20,BI20)</f>
        <v>10</v>
      </c>
      <c r="BQ20" s="5" t="n">
        <f aca="false">_xlfn.STDEV.P(C20,I20,O20,U20,AA20,AG20,AM20,AS20,AY20,BE20)</f>
        <v>0</v>
      </c>
      <c r="BR20" s="5" t="n">
        <f aca="false">_xlfn.STDEV.P(D20,J20,P20,V20,AB20,AH20,AN20,AT20,AZ20,BF20)</f>
        <v>2.29128784747792</v>
      </c>
      <c r="BS20" s="5" t="n">
        <f aca="false">_xlfn.STDEV.P(,E20,K20,Q20,W20,AC20,AI20,AO20,AU20,BA20,BG20)</f>
        <v>3.96263540321879</v>
      </c>
      <c r="BT20" s="5" t="n">
        <f aca="false">_xlfn.STDEV.P(F20,L20,R20,X20,AD20,AJ20,AP20,AV20,BB20,BH20)</f>
        <v>0</v>
      </c>
      <c r="BU20" s="5" t="n">
        <f aca="false">_xlfn.STDEV.P(G20,M20,S20,Y20,AE20,AK20,AQ20,AW20,BC20,BI20)</f>
        <v>0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20</v>
      </c>
      <c r="D21" s="5" t="n">
        <v>20</v>
      </c>
      <c r="E21" s="5" t="n">
        <v>20</v>
      </c>
      <c r="F21" s="5" t="n">
        <v>20</v>
      </c>
      <c r="G21" s="5" t="n">
        <v>20</v>
      </c>
      <c r="H21" s="5"/>
      <c r="I21" s="5" t="n">
        <v>20</v>
      </c>
      <c r="J21" s="5" t="n">
        <v>20</v>
      </c>
      <c r="K21" s="5" t="n">
        <v>15</v>
      </c>
      <c r="L21" s="5" t="n">
        <v>25</v>
      </c>
      <c r="M21" s="5" t="n">
        <v>20</v>
      </c>
      <c r="N21" s="5"/>
      <c r="O21" s="5" t="n">
        <v>20</v>
      </c>
      <c r="P21" s="5" t="n">
        <v>20</v>
      </c>
      <c r="Q21" s="5" t="n">
        <v>15</v>
      </c>
      <c r="R21" s="5" t="n">
        <v>25</v>
      </c>
      <c r="S21" s="5" t="n">
        <v>20</v>
      </c>
      <c r="T21" s="5"/>
      <c r="U21" s="5" t="n">
        <v>20</v>
      </c>
      <c r="V21" s="5" t="n">
        <v>20</v>
      </c>
      <c r="W21" s="5" t="n">
        <v>15</v>
      </c>
      <c r="X21" s="5" t="n">
        <v>20</v>
      </c>
      <c r="Y21" s="5" t="n">
        <v>25</v>
      </c>
      <c r="Z21" s="5"/>
      <c r="AA21" s="5" t="n">
        <v>20</v>
      </c>
      <c r="AB21" s="5" t="n">
        <v>20</v>
      </c>
      <c r="AC21" s="5" t="n">
        <v>20</v>
      </c>
      <c r="AD21" s="5" t="n">
        <v>20</v>
      </c>
      <c r="AE21" s="5" t="n">
        <v>20</v>
      </c>
      <c r="AF21" s="5"/>
      <c r="AG21" s="5" t="n">
        <v>20</v>
      </c>
      <c r="AH21" s="5" t="n">
        <v>20</v>
      </c>
      <c r="AI21" s="5" t="n">
        <v>10</v>
      </c>
      <c r="AJ21" s="5" t="n">
        <v>20</v>
      </c>
      <c r="AK21" s="5" t="n">
        <v>30</v>
      </c>
      <c r="AL21" s="5"/>
      <c r="AM21" s="5" t="n">
        <v>20</v>
      </c>
      <c r="AN21" s="5" t="n">
        <v>15</v>
      </c>
      <c r="AO21" s="5" t="n">
        <v>20</v>
      </c>
      <c r="AP21" s="5" t="n">
        <v>25</v>
      </c>
      <c r="AQ21" s="5" t="n">
        <v>20</v>
      </c>
      <c r="AR21" s="5"/>
      <c r="AS21" s="5" t="n">
        <v>20</v>
      </c>
      <c r="AT21" s="5" t="n">
        <v>20</v>
      </c>
      <c r="AU21" s="5" t="n">
        <v>15</v>
      </c>
      <c r="AV21" s="5" t="n">
        <v>25</v>
      </c>
      <c r="AW21" s="5" t="n">
        <v>20</v>
      </c>
      <c r="AX21" s="5"/>
      <c r="AY21" s="5" t="n">
        <v>20</v>
      </c>
      <c r="AZ21" s="5" t="n">
        <v>20</v>
      </c>
      <c r="BA21" s="5" t="n">
        <v>20</v>
      </c>
      <c r="BB21" s="5" t="n">
        <v>20</v>
      </c>
      <c r="BC21" s="5" t="n">
        <v>20</v>
      </c>
      <c r="BD21" s="5"/>
      <c r="BE21" s="5" t="n">
        <v>20</v>
      </c>
      <c r="BF21" s="5" t="n">
        <v>20</v>
      </c>
      <c r="BG21" s="5" t="n">
        <v>20</v>
      </c>
      <c r="BH21" s="5" t="n">
        <v>20</v>
      </c>
      <c r="BI21" s="5" t="n">
        <v>20</v>
      </c>
      <c r="BK21" s="5" t="n">
        <f aca="false">AVERAGE(C21,I21,O21,U21,AA21,AG21,AM21,AS21,AY21,BE21)</f>
        <v>20</v>
      </c>
      <c r="BL21" s="5" t="n">
        <f aca="false">AVERAGE(D21,J21,P21,V21,AB21,AH21,AN21,AT21,AZ21,BF21)</f>
        <v>19.5</v>
      </c>
      <c r="BM21" s="5" t="n">
        <f aca="false">AVERAGE(,E21,K21,Q21,W21,AC21,AI21,AO21,AU21,BA21,BG21)</f>
        <v>15.4545454545455</v>
      </c>
      <c r="BN21" s="5" t="n">
        <f aca="false">AVERAGE(F21,L21,R21,X21,AD21,AJ21,AP21,AV21,BB21,BH21)</f>
        <v>22</v>
      </c>
      <c r="BO21" s="5" t="n">
        <f aca="false">AVERAGE(G21,M21,S21,Y21,AE21,AK21,AQ21,AW21,BC21,BI21)</f>
        <v>21.5</v>
      </c>
      <c r="BQ21" s="5" t="n">
        <f aca="false">_xlfn.STDEV.P(C21,I21,O21,U21,AA21,AG21,AM21,AS21,AY21,BE21)</f>
        <v>0</v>
      </c>
      <c r="BR21" s="5" t="n">
        <f aca="false">_xlfn.STDEV.P(D21,J21,P21,V21,AB21,AH21,AN21,AT21,AZ21,BF21)</f>
        <v>1.5</v>
      </c>
      <c r="BS21" s="5" t="n">
        <f aca="false">_xlfn.STDEV.P(,E21,K21,Q21,W21,AC21,AI21,AO21,AU21,BA21,BG21)</f>
        <v>5.82102203402986</v>
      </c>
      <c r="BT21" s="5" t="n">
        <f aca="false">_xlfn.STDEV.P(F21,L21,R21,X21,AD21,AJ21,AP21,AV21,BB21,BH21)</f>
        <v>2.44948974278318</v>
      </c>
      <c r="BU21" s="5" t="n">
        <f aca="false">_xlfn.STDEV.P(G21,M21,S21,Y21,AE21,AK21,AQ21,AW21,BC21,BI21)</f>
        <v>3.20156211871642</v>
      </c>
    </row>
    <row r="22" customFormat="false" ht="12.8" hidden="false" customHeight="false" outlineLevel="0" collapsed="false">
      <c r="BK22" s="3"/>
      <c r="BL22" s="3"/>
      <c r="BM22" s="3"/>
      <c r="BN22" s="3"/>
      <c r="BO22" s="3"/>
      <c r="BQ22" s="3"/>
      <c r="BR22" s="3"/>
      <c r="BS22" s="3"/>
      <c r="BT22" s="3"/>
      <c r="BU22" s="3"/>
    </row>
    <row r="25" customFormat="false" ht="12.8" hidden="false" customHeight="false" outlineLevel="0" collapsed="false">
      <c r="A25" s="7" t="s">
        <v>38</v>
      </c>
      <c r="B25" s="8" t="s">
        <v>53</v>
      </c>
      <c r="C25" s="9" t="n">
        <f aca="false">AVERAGE(C2:C21,I2:I21,O2:O21,U2:U21,AA2:AA21,AG2:AG21,AM2:AM21,AS2:AS21,AY2:AY21,BE2:BE21)</f>
        <v>22</v>
      </c>
    </row>
    <row r="26" customFormat="false" ht="12.8" hidden="false" customHeight="false" outlineLevel="0" collapsed="false">
      <c r="A26" s="7" t="s">
        <v>39</v>
      </c>
      <c r="B26" s="8" t="s">
        <v>54</v>
      </c>
      <c r="C26" s="9" t="n">
        <f aca="false">AVERAGE(D2:D21,J2:J21,P2:P21,V2:V21,AB2:AB21,AH2:AH21,AN2:AN21,AT2:AT21,AZ2:AZ21,BF2:BF21)</f>
        <v>24.625</v>
      </c>
    </row>
    <row r="27" customFormat="false" ht="12.8" hidden="false" customHeight="false" outlineLevel="0" collapsed="false">
      <c r="A27" s="7" t="s">
        <v>40</v>
      </c>
      <c r="B27" s="8" t="s">
        <v>55</v>
      </c>
      <c r="C27" s="9" t="n">
        <f aca="false">AVERAGE(E2:E21,K2:K21,Q2:Q21,W2:W21,AC2:AC21,AI2:AI21,AO2:AO21,AU2:AU21,BA2:BA21,BG2:BG21)</f>
        <v>14.925</v>
      </c>
    </row>
    <row r="28" customFormat="false" ht="12.8" hidden="false" customHeight="false" outlineLevel="0" collapsed="false">
      <c r="A28" s="7" t="s">
        <v>41</v>
      </c>
      <c r="B28" s="8" t="s">
        <v>56</v>
      </c>
      <c r="C28" s="9" t="n">
        <f aca="false">AVERAGE(F2:F21,L2:L21,R2:R21,X2:X21,AD2:AD21,AJ2:AJ21,AP2:AP21,AV2:AV21,BB2:BB21,BH2:BH21)</f>
        <v>17.85</v>
      </c>
    </row>
    <row r="29" customFormat="false" ht="12.8" hidden="false" customHeight="false" outlineLevel="0" collapsed="false">
      <c r="A29" s="7" t="s">
        <v>42</v>
      </c>
      <c r="B29" s="8" t="s">
        <v>57</v>
      </c>
      <c r="C29" s="9" t="n">
        <f aca="false">AVERAGE(G2:G21,M2:M21,S2:S21,Y2:Y21,AE2:AE21,AK2:AK21,AQ2:AQ21,AW2:AW21,BC2:BC21,BI2:BI21)</f>
        <v>20.6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2" min="2" style="1" width="40.2"/>
    <col collapsed="false" customWidth="true" hidden="false" outlineLevel="0" max="13" min="13" style="1" width="37.36"/>
    <col collapsed="false" customWidth="true" hidden="false" outlineLevel="0" max="14" min="14" style="1" width="15.7"/>
    <col collapsed="false" customWidth="true" hidden="false" outlineLevel="0" max="16" min="15" style="1" width="19.67"/>
    <col collapsed="false" customWidth="true" hidden="false" outlineLevel="0" max="18" min="18" style="1" width="20.27"/>
    <col collapsed="false" customWidth="true" hidden="false" outlineLevel="0" max="19" min="19" style="1" width="20.66"/>
    <col collapsed="false" customWidth="true" hidden="false" outlineLevel="0" max="20" min="20" style="1" width="19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3" t="s">
        <v>12</v>
      </c>
      <c r="O1" s="3" t="s">
        <v>13</v>
      </c>
      <c r="P1" s="3" t="s">
        <v>14</v>
      </c>
      <c r="R1" s="3" t="s">
        <v>15</v>
      </c>
      <c r="S1" s="3" t="s">
        <v>16</v>
      </c>
      <c r="T1" s="3" t="s">
        <v>17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85</v>
      </c>
      <c r="D2" s="5" t="n">
        <v>85</v>
      </c>
      <c r="E2" s="5" t="n">
        <v>85</v>
      </c>
      <c r="F2" s="5" t="n">
        <v>85</v>
      </c>
      <c r="G2" s="5" t="n">
        <v>85</v>
      </c>
      <c r="H2" s="5" t="n">
        <v>85</v>
      </c>
      <c r="I2" s="5" t="n">
        <v>85</v>
      </c>
      <c r="J2" s="5" t="n">
        <v>85</v>
      </c>
      <c r="K2" s="5" t="n">
        <v>85</v>
      </c>
      <c r="L2" s="5" t="n">
        <v>85</v>
      </c>
      <c r="N2" s="5" t="n">
        <f aca="false">AVERAGE(C2:L2)</f>
        <v>85</v>
      </c>
      <c r="O2" s="5" t="n">
        <f aca="false">ROUND(_xlfn.STDEV.P(C2:L2),4)</f>
        <v>0</v>
      </c>
      <c r="P2" s="5" t="n">
        <f aca="false">ROUND(IF(N2=0, 0, O2/N2),4)</f>
        <v>0</v>
      </c>
      <c r="R2" s="5" t="n">
        <f aca="false">AVERAGE(P2:P21)</f>
        <v>0.09748</v>
      </c>
      <c r="S2" s="5" t="n">
        <f aca="false">MAX(P3:P21)</f>
        <v>0.2727</v>
      </c>
      <c r="T2" s="5" t="n">
        <f aca="false">_xlfn.STDEV.P(P2:P21)</f>
        <v>0.0777144426731608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85</v>
      </c>
      <c r="D3" s="5" t="n">
        <v>85</v>
      </c>
      <c r="E3" s="5" t="n">
        <v>74</v>
      </c>
      <c r="F3" s="5" t="n">
        <v>85</v>
      </c>
      <c r="G3" s="5" t="n">
        <v>85</v>
      </c>
      <c r="H3" s="5" t="n">
        <v>85</v>
      </c>
      <c r="I3" s="5" t="n">
        <v>89</v>
      </c>
      <c r="J3" s="5" t="n">
        <v>74</v>
      </c>
      <c r="K3" s="5" t="n">
        <v>85</v>
      </c>
      <c r="L3" s="5" t="n">
        <v>85</v>
      </c>
      <c r="N3" s="5" t="n">
        <f aca="false">AVERAGE(C3:L3)</f>
        <v>83.2</v>
      </c>
      <c r="O3" s="5" t="n">
        <f aca="false">ROUND(_xlfn.STDEV.P(C3:L3),4)</f>
        <v>4.7497</v>
      </c>
      <c r="P3" s="5" t="n">
        <f aca="false">ROUND(IF(N3=0, 0, O3/N3),4)</f>
        <v>0.0571</v>
      </c>
      <c r="R3" s="5"/>
      <c r="S3" s="5"/>
      <c r="T3" s="5"/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78</v>
      </c>
      <c r="D4" s="5" t="n">
        <v>72</v>
      </c>
      <c r="E4" s="5" t="n">
        <v>65</v>
      </c>
      <c r="F4" s="5" t="n">
        <v>68</v>
      </c>
      <c r="G4" s="5" t="n">
        <v>65</v>
      </c>
      <c r="H4" s="5" t="n">
        <v>72</v>
      </c>
      <c r="I4" s="5" t="n">
        <v>72</v>
      </c>
      <c r="J4" s="5" t="n">
        <v>75</v>
      </c>
      <c r="K4" s="5" t="n">
        <v>68</v>
      </c>
      <c r="L4" s="5" t="n">
        <v>72</v>
      </c>
      <c r="N4" s="5" t="n">
        <f aca="false">AVERAGE(C4:L4)</f>
        <v>70.7</v>
      </c>
      <c r="O4" s="5" t="n">
        <f aca="false">ROUND(_xlfn.STDEV.P(C4:L4),4)</f>
        <v>3.9762</v>
      </c>
      <c r="P4" s="5" t="n">
        <f aca="false">ROUND(IF(N4=0, 0, O4/N4),4)</f>
        <v>0.0562</v>
      </c>
      <c r="R4" s="5"/>
      <c r="S4" s="5"/>
      <c r="T4" s="5"/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78</v>
      </c>
      <c r="D5" s="5" t="n">
        <v>78</v>
      </c>
      <c r="E5" s="5" t="n">
        <v>82</v>
      </c>
      <c r="F5" s="5" t="n">
        <v>78</v>
      </c>
      <c r="G5" s="5" t="n">
        <v>78</v>
      </c>
      <c r="H5" s="5" t="n">
        <v>78</v>
      </c>
      <c r="I5" s="5" t="n">
        <v>78</v>
      </c>
      <c r="J5" s="5" t="n">
        <v>78</v>
      </c>
      <c r="K5" s="5" t="n">
        <v>78</v>
      </c>
      <c r="L5" s="5" t="n">
        <v>80</v>
      </c>
      <c r="N5" s="5" t="n">
        <f aca="false">AVERAGE(C5:L5)</f>
        <v>78.6</v>
      </c>
      <c r="O5" s="5" t="n">
        <f aca="false">ROUND(_xlfn.STDEV.P(C5:L5),4)</f>
        <v>1.2806</v>
      </c>
      <c r="P5" s="5" t="n">
        <f aca="false">ROUND(IF(N5=0, 0, O5/N5),4)</f>
        <v>0.0163</v>
      </c>
      <c r="R5" s="5"/>
      <c r="S5" s="5"/>
      <c r="T5" s="5"/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68</v>
      </c>
      <c r="D6" s="5" t="n">
        <v>75</v>
      </c>
      <c r="E6" s="5" t="n">
        <v>80</v>
      </c>
      <c r="F6" s="5" t="n">
        <v>75</v>
      </c>
      <c r="G6" s="5" t="n">
        <v>75</v>
      </c>
      <c r="H6" s="5" t="n">
        <v>73</v>
      </c>
      <c r="I6" s="5" t="n">
        <v>75</v>
      </c>
      <c r="J6" s="5" t="n">
        <v>75</v>
      </c>
      <c r="K6" s="5" t="n">
        <v>75</v>
      </c>
      <c r="L6" s="5" t="n">
        <v>75</v>
      </c>
      <c r="N6" s="5" t="n">
        <f aca="false">AVERAGE(C6:L6)</f>
        <v>74.6</v>
      </c>
      <c r="O6" s="5" t="n">
        <f aca="false">ROUND(_xlfn.STDEV.P(C6:L6),4)</f>
        <v>2.7641</v>
      </c>
      <c r="P6" s="5" t="n">
        <f aca="false">ROUND(IF(N6=0, 0, O6/N6),4)</f>
        <v>0.0371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85</v>
      </c>
      <c r="D7" s="5" t="n">
        <v>85</v>
      </c>
      <c r="E7" s="5" t="n">
        <v>85</v>
      </c>
      <c r="F7" s="5" t="n">
        <v>80</v>
      </c>
      <c r="G7" s="5" t="n">
        <v>75</v>
      </c>
      <c r="H7" s="5" t="n">
        <v>69</v>
      </c>
      <c r="I7" s="5" t="n">
        <v>78</v>
      </c>
      <c r="J7" s="5" t="n">
        <v>85</v>
      </c>
      <c r="K7" s="5" t="n">
        <v>85</v>
      </c>
      <c r="L7" s="5" t="n">
        <v>85</v>
      </c>
      <c r="N7" s="5" t="n">
        <f aca="false">AVERAGE(C7:L7)</f>
        <v>81.2</v>
      </c>
      <c r="O7" s="5" t="n">
        <f aca="false">ROUND(_xlfn.STDEV.P(C7:L7),4)</f>
        <v>5.3442</v>
      </c>
      <c r="P7" s="5" t="n">
        <f aca="false">ROUND(IF(N7=0, 0, O7/N7),4)</f>
        <v>0.0658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85</v>
      </c>
      <c r="D8" s="5" t="n">
        <v>85</v>
      </c>
      <c r="E8" s="5" t="n">
        <v>90</v>
      </c>
      <c r="F8" s="5" t="n">
        <v>85</v>
      </c>
      <c r="G8" s="5" t="n">
        <v>85</v>
      </c>
      <c r="H8" s="5" t="n">
        <v>85</v>
      </c>
      <c r="I8" s="5" t="n">
        <v>85</v>
      </c>
      <c r="J8" s="5" t="n">
        <v>85</v>
      </c>
      <c r="K8" s="5" t="n">
        <v>100</v>
      </c>
      <c r="L8" s="5" t="n">
        <v>85</v>
      </c>
      <c r="N8" s="5" t="n">
        <f aca="false">AVERAGE(C8:L8)</f>
        <v>87</v>
      </c>
      <c r="O8" s="5" t="n">
        <f aca="false">ROUND(_xlfn.STDEV.P(C8:L8),4)</f>
        <v>4.5826</v>
      </c>
      <c r="P8" s="5" t="n">
        <f aca="false">ROUND(IF(N8=0, 0, O8/N8),4)</f>
        <v>0.0527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85</v>
      </c>
      <c r="D9" s="5" t="n">
        <v>85</v>
      </c>
      <c r="E9" s="5" t="n">
        <v>85</v>
      </c>
      <c r="F9" s="5" t="n">
        <v>85</v>
      </c>
      <c r="G9" s="5" t="n">
        <v>85</v>
      </c>
      <c r="H9" s="5" t="n">
        <v>85</v>
      </c>
      <c r="I9" s="5" t="n">
        <v>85</v>
      </c>
      <c r="J9" s="5" t="n">
        <v>85</v>
      </c>
      <c r="K9" s="5" t="n">
        <v>85</v>
      </c>
      <c r="L9" s="5" t="n">
        <v>85</v>
      </c>
      <c r="N9" s="5" t="n">
        <f aca="false">AVERAGE(C9:L9)</f>
        <v>85</v>
      </c>
      <c r="O9" s="5" t="n">
        <f aca="false">ROUND(_xlfn.STDEV.P(C9:L9),4)</f>
        <v>0</v>
      </c>
      <c r="P9" s="5" t="n">
        <f aca="false">ROUND(IF(N9=0, 0, O9/N9),4)</f>
        <v>0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75</v>
      </c>
      <c r="D10" s="5" t="n">
        <v>85</v>
      </c>
      <c r="E10" s="5" t="n">
        <v>75</v>
      </c>
      <c r="F10" s="5" t="n">
        <v>75</v>
      </c>
      <c r="G10" s="5" t="n">
        <v>85</v>
      </c>
      <c r="H10" s="5" t="n">
        <v>85</v>
      </c>
      <c r="I10" s="5" t="n">
        <v>75</v>
      </c>
      <c r="J10" s="5" t="n">
        <v>75</v>
      </c>
      <c r="K10" s="5" t="n">
        <v>75</v>
      </c>
      <c r="L10" s="5" t="n">
        <v>75</v>
      </c>
      <c r="N10" s="5" t="n">
        <f aca="false">AVERAGE(C10:L10)</f>
        <v>78</v>
      </c>
      <c r="O10" s="5" t="n">
        <f aca="false">ROUND(_xlfn.STDEV.P(C10:L10),4)</f>
        <v>4.5826</v>
      </c>
      <c r="P10" s="5" t="n">
        <f aca="false">ROUND(IF(N10=0, 0, O10/N10),4)</f>
        <v>0.0588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75</v>
      </c>
      <c r="D11" s="5" t="n">
        <v>65</v>
      </c>
      <c r="E11" s="5" t="n">
        <v>90</v>
      </c>
      <c r="F11" s="5" t="n">
        <v>65</v>
      </c>
      <c r="G11" s="5" t="n">
        <v>75</v>
      </c>
      <c r="H11" s="5" t="n">
        <v>65</v>
      </c>
      <c r="I11" s="5" t="n">
        <v>75</v>
      </c>
      <c r="J11" s="5" t="n">
        <v>65</v>
      </c>
      <c r="K11" s="5" t="n">
        <v>65</v>
      </c>
      <c r="L11" s="5" t="n">
        <v>75</v>
      </c>
      <c r="N11" s="5" t="n">
        <f aca="false">AVERAGE(C11:L11)</f>
        <v>71.5</v>
      </c>
      <c r="O11" s="5" t="n">
        <f aca="false">ROUND(_xlfn.STDEV.P(C11:L11),4)</f>
        <v>7.7621</v>
      </c>
      <c r="P11" s="5" t="n">
        <f aca="false">ROUND(IF(N11=0, 0, O11/N11),4)</f>
        <v>0.1086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10</v>
      </c>
      <c r="D12" s="5" t="n">
        <v>5</v>
      </c>
      <c r="E12" s="5" t="n">
        <v>5</v>
      </c>
      <c r="F12" s="5" t="n">
        <v>5</v>
      </c>
      <c r="G12" s="5" t="n">
        <v>5</v>
      </c>
      <c r="H12" s="5" t="n">
        <v>5</v>
      </c>
      <c r="I12" s="5" t="n">
        <v>5</v>
      </c>
      <c r="J12" s="5" t="n">
        <v>5</v>
      </c>
      <c r="K12" s="5" t="n">
        <v>5</v>
      </c>
      <c r="L12" s="5" t="n">
        <v>5</v>
      </c>
      <c r="N12" s="5" t="n">
        <f aca="false">AVERAGE(C12:L12)</f>
        <v>5.5</v>
      </c>
      <c r="O12" s="5" t="n">
        <f aca="false">ROUND(_xlfn.STDEV.P(C12:L12),4)</f>
        <v>1.5</v>
      </c>
      <c r="P12" s="5" t="n">
        <f aca="false">ROUND(IF(N12=0, 0, O12/N12),4)</f>
        <v>0.2727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5</v>
      </c>
      <c r="D13" s="5" t="n">
        <v>5</v>
      </c>
      <c r="E13" s="5" t="n">
        <v>5</v>
      </c>
      <c r="F13" s="5" t="n">
        <v>10</v>
      </c>
      <c r="G13" s="5" t="n">
        <v>5</v>
      </c>
      <c r="H13" s="5" t="n">
        <v>5</v>
      </c>
      <c r="I13" s="5" t="n">
        <v>5</v>
      </c>
      <c r="J13" s="5" t="n">
        <v>5</v>
      </c>
      <c r="K13" s="5" t="n">
        <v>5</v>
      </c>
      <c r="L13" s="5" t="n">
        <v>5</v>
      </c>
      <c r="N13" s="5" t="n">
        <f aca="false">AVERAGE(C13:L13)</f>
        <v>5.5</v>
      </c>
      <c r="O13" s="5" t="n">
        <f aca="false">ROUND(_xlfn.STDEV.P(C13:L13),4)</f>
        <v>1.5</v>
      </c>
      <c r="P13" s="5" t="n">
        <f aca="false">ROUND(IF(N13=0, 0, O13/N13),4)</f>
        <v>0.2727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20</v>
      </c>
      <c r="D14" s="5" t="n">
        <v>25</v>
      </c>
      <c r="E14" s="5" t="n">
        <v>25</v>
      </c>
      <c r="F14" s="5" t="n">
        <v>20</v>
      </c>
      <c r="G14" s="5" t="n">
        <v>25</v>
      </c>
      <c r="H14" s="5" t="n">
        <v>20</v>
      </c>
      <c r="I14" s="5" t="n">
        <v>20</v>
      </c>
      <c r="J14" s="5" t="n">
        <v>25</v>
      </c>
      <c r="K14" s="5" t="n">
        <v>30</v>
      </c>
      <c r="L14" s="5" t="n">
        <v>20</v>
      </c>
      <c r="N14" s="5" t="n">
        <f aca="false">AVERAGE(C14:L14)</f>
        <v>23</v>
      </c>
      <c r="O14" s="5" t="n">
        <f aca="false">ROUND(_xlfn.STDEV.P(C14:L14),4)</f>
        <v>3.3166</v>
      </c>
      <c r="P14" s="5" t="n">
        <f aca="false">ROUND(IF(N14=0, 0, O14/N14),4)</f>
        <v>0.1442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10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10</v>
      </c>
      <c r="I15" s="5" t="n">
        <v>15</v>
      </c>
      <c r="J15" s="5" t="n">
        <v>15</v>
      </c>
      <c r="K15" s="5" t="n">
        <v>10</v>
      </c>
      <c r="L15" s="5" t="n">
        <v>10</v>
      </c>
      <c r="N15" s="5" t="n">
        <f aca="false">AVERAGE(C15:L15)</f>
        <v>11</v>
      </c>
      <c r="O15" s="5" t="n">
        <f aca="false">ROUND(_xlfn.STDEV.P(C15:L15),4)</f>
        <v>2</v>
      </c>
      <c r="P15" s="5" t="n">
        <f aca="false">ROUND(IF(N15=0, 0, O15/N15),4)</f>
        <v>0.1818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45</v>
      </c>
      <c r="D16" s="5" t="n">
        <v>65</v>
      </c>
      <c r="E16" s="5" t="n">
        <v>55</v>
      </c>
      <c r="F16" s="5" t="n">
        <v>55</v>
      </c>
      <c r="G16" s="5" t="n">
        <v>65</v>
      </c>
      <c r="H16" s="5" t="n">
        <v>75</v>
      </c>
      <c r="I16" s="5" t="n">
        <v>85</v>
      </c>
      <c r="J16" s="5" t="n">
        <v>75</v>
      </c>
      <c r="K16" s="5" t="n">
        <v>55</v>
      </c>
      <c r="L16" s="5" t="n">
        <v>65</v>
      </c>
      <c r="N16" s="5" t="n">
        <f aca="false">AVERAGE(C16:L16)</f>
        <v>64</v>
      </c>
      <c r="O16" s="5" t="n">
        <f aca="false">ROUND(_xlfn.STDEV.P(C16:L16),4)</f>
        <v>11.3578</v>
      </c>
      <c r="P16" s="5" t="n">
        <f aca="false">ROUND(IF(N16=0, 0, O16/N16),4)</f>
        <v>0.1775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20</v>
      </c>
      <c r="D17" s="5" t="n">
        <v>25</v>
      </c>
      <c r="E17" s="5" t="n">
        <v>20</v>
      </c>
      <c r="F17" s="5" t="n">
        <v>20</v>
      </c>
      <c r="G17" s="5" t="n">
        <v>25</v>
      </c>
      <c r="H17" s="5" t="n">
        <v>25</v>
      </c>
      <c r="I17" s="5" t="n">
        <v>20</v>
      </c>
      <c r="J17" s="5" t="n">
        <v>25</v>
      </c>
      <c r="K17" s="5" t="n">
        <v>25</v>
      </c>
      <c r="L17" s="5" t="n">
        <v>25</v>
      </c>
      <c r="N17" s="5" t="n">
        <f aca="false">AVERAGE(C17:L17)</f>
        <v>23</v>
      </c>
      <c r="O17" s="5" t="n">
        <f aca="false">ROUND(_xlfn.STDEV.P(C17:L17),4)</f>
        <v>2.4495</v>
      </c>
      <c r="P17" s="5" t="n">
        <f aca="false">ROUND(IF(N17=0, 0, O17/N17),4)</f>
        <v>0.1065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15</v>
      </c>
      <c r="D18" s="5" t="n">
        <v>15</v>
      </c>
      <c r="E18" s="5" t="n">
        <v>15</v>
      </c>
      <c r="F18" s="5" t="n">
        <v>15</v>
      </c>
      <c r="G18" s="5" t="n">
        <v>15</v>
      </c>
      <c r="H18" s="5" t="n">
        <v>15</v>
      </c>
      <c r="I18" s="5" t="n">
        <v>15</v>
      </c>
      <c r="J18" s="5" t="n">
        <v>20</v>
      </c>
      <c r="K18" s="5" t="n">
        <v>15</v>
      </c>
      <c r="L18" s="5" t="n">
        <v>15</v>
      </c>
      <c r="N18" s="5" t="n">
        <f aca="false">AVERAGE(C18:L18)</f>
        <v>15.5</v>
      </c>
      <c r="O18" s="5" t="n">
        <f aca="false">ROUND(_xlfn.STDEV.P(C18:L18),4)</f>
        <v>1.5</v>
      </c>
      <c r="P18" s="5" t="n">
        <f aca="false">ROUND(IF(N18=0, 0, O18/N18),4)</f>
        <v>0.0968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50</v>
      </c>
      <c r="D19" s="5" t="n">
        <v>60</v>
      </c>
      <c r="E19" s="5" t="n">
        <v>60</v>
      </c>
      <c r="F19" s="5" t="n">
        <v>55</v>
      </c>
      <c r="G19" s="5" t="n">
        <v>55</v>
      </c>
      <c r="H19" s="5" t="n">
        <v>55</v>
      </c>
      <c r="I19" s="5" t="n">
        <v>55</v>
      </c>
      <c r="J19" s="5" t="n">
        <v>55</v>
      </c>
      <c r="K19" s="5" t="n">
        <v>55</v>
      </c>
      <c r="L19" s="5" t="n">
        <v>55</v>
      </c>
      <c r="N19" s="5" t="n">
        <f aca="false">AVERAGE(C19:L19)</f>
        <v>55.5</v>
      </c>
      <c r="O19" s="5" t="n">
        <f aca="false">ROUND(_xlfn.STDEV.P(C19:L19),4)</f>
        <v>2.6926</v>
      </c>
      <c r="P19" s="5" t="n">
        <f aca="false">ROUND(IF(N19=0, 0, O19/N19),4)</f>
        <v>0.0485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65</v>
      </c>
      <c r="D20" s="5" t="n">
        <v>75</v>
      </c>
      <c r="E20" s="5" t="n">
        <v>65</v>
      </c>
      <c r="F20" s="5" t="n">
        <v>65</v>
      </c>
      <c r="G20" s="5" t="n">
        <v>65</v>
      </c>
      <c r="H20" s="5" t="n">
        <v>65</v>
      </c>
      <c r="I20" s="5" t="n">
        <v>65</v>
      </c>
      <c r="J20" s="5" t="n">
        <v>60</v>
      </c>
      <c r="K20" s="5" t="n">
        <v>65</v>
      </c>
      <c r="L20" s="5" t="n">
        <v>65</v>
      </c>
      <c r="N20" s="5" t="n">
        <f aca="false">AVERAGE(C20:L20)</f>
        <v>65.5</v>
      </c>
      <c r="O20" s="5" t="n">
        <f aca="false">ROUND(_xlfn.STDEV.P(C20:L20),4)</f>
        <v>3.5</v>
      </c>
      <c r="P20" s="5" t="n">
        <f aca="false">ROUND(IF(N20=0, 0, O20/N20),4)</f>
        <v>0.0534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15</v>
      </c>
      <c r="D21" s="5" t="n">
        <v>15</v>
      </c>
      <c r="E21" s="5" t="n">
        <v>15</v>
      </c>
      <c r="F21" s="5" t="n">
        <v>15</v>
      </c>
      <c r="G21" s="5" t="n">
        <v>15</v>
      </c>
      <c r="H21" s="5" t="n">
        <v>15</v>
      </c>
      <c r="I21" s="5" t="n">
        <v>15</v>
      </c>
      <c r="J21" s="5" t="n">
        <v>15</v>
      </c>
      <c r="K21" s="5" t="n">
        <v>10</v>
      </c>
      <c r="L21" s="5" t="n">
        <v>10</v>
      </c>
      <c r="N21" s="5" t="n">
        <f aca="false">AVERAGE(C21:L21)</f>
        <v>14</v>
      </c>
      <c r="O21" s="5" t="n">
        <f aca="false">ROUND(_xlfn.STDEV.P(C21:L21),4)</f>
        <v>2</v>
      </c>
      <c r="P21" s="5" t="n">
        <f aca="false">ROUND(IF(N21=0, 0, O21/N21),4)</f>
        <v>0.1429</v>
      </c>
    </row>
    <row r="23" customFormat="false" ht="12.8" hidden="false" customHeight="false" outlineLevel="0" collapsed="false">
      <c r="O23" s="5" t="n">
        <f aca="false">ROUND(AVERAGE(O2:O21),4)</f>
        <v>3.3429</v>
      </c>
      <c r="P23" s="5" t="n">
        <f aca="false">ROUND(AVERAGE(P2:P21),4)</f>
        <v>0.0975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U42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N28" activeCellId="0" sqref="N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true" hidden="false" outlineLevel="0" max="2" min="2" style="1" width="45.21"/>
    <col collapsed="false" customWidth="true" hidden="false" outlineLevel="0" max="7" min="3" style="1" width="3.89"/>
    <col collapsed="false" customWidth="true" hidden="false" outlineLevel="0" max="13" min="9" style="1" width="3.89"/>
    <col collapsed="false" customWidth="true" hidden="false" outlineLevel="0" max="19" min="15" style="1" width="3.89"/>
    <col collapsed="false" customWidth="true" hidden="false" outlineLevel="0" max="25" min="21" style="1" width="3.89"/>
    <col collapsed="false" customWidth="true" hidden="false" outlineLevel="0" max="31" min="27" style="1" width="3.89"/>
    <col collapsed="false" customWidth="true" hidden="false" outlineLevel="0" max="37" min="33" style="1" width="3.89"/>
    <col collapsed="false" customWidth="true" hidden="false" outlineLevel="0" max="43" min="39" style="1" width="3.89"/>
    <col collapsed="false" customWidth="true" hidden="false" outlineLevel="0" max="49" min="45" style="1" width="3.89"/>
    <col collapsed="false" customWidth="true" hidden="false" outlineLevel="0" max="55" min="51" style="1" width="3.89"/>
    <col collapsed="false" customWidth="true" hidden="false" outlineLevel="0" max="61" min="57" style="1" width="3.89"/>
    <col collapsed="false" customWidth="true" hidden="false" outlineLevel="0" max="65" min="65" style="1" width="19.87"/>
    <col collapsed="false" customWidth="true" hidden="false" outlineLevel="0" max="69" min="69" style="1" width="17.69"/>
    <col collapsed="false" customWidth="true" hidden="false" outlineLevel="0" max="70" min="70" style="1" width="20.85"/>
    <col collapsed="false" customWidth="true" hidden="false" outlineLevel="0" max="71" min="71" style="1" width="18.48"/>
    <col collapsed="false" customWidth="true" hidden="false" outlineLevel="0" max="72" min="72" style="1" width="19.07"/>
    <col collapsed="false" customWidth="true" hidden="false" outlineLevel="0" max="73" min="73" style="1" width="18.2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/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/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/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/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/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/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/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/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/>
      <c r="BE1" s="3" t="s">
        <v>38</v>
      </c>
      <c r="BF1" s="3" t="s">
        <v>39</v>
      </c>
      <c r="BG1" s="3" t="s">
        <v>40</v>
      </c>
      <c r="BH1" s="3" t="s">
        <v>41</v>
      </c>
      <c r="BI1" s="3" t="s">
        <v>42</v>
      </c>
      <c r="BJ1" s="3"/>
      <c r="BK1" s="3" t="s">
        <v>43</v>
      </c>
      <c r="BL1" s="3" t="s">
        <v>44</v>
      </c>
      <c r="BM1" s="3" t="s">
        <v>45</v>
      </c>
      <c r="BN1" s="3" t="s">
        <v>46</v>
      </c>
      <c r="BO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</row>
    <row r="2" customFormat="false" ht="12.8" hidden="false" customHeight="false" outlineLevel="0" collapsed="false">
      <c r="A2" s="1" t="n">
        <v>1</v>
      </c>
      <c r="B2" s="4" t="s">
        <v>18</v>
      </c>
      <c r="C2" s="5" t="n">
        <v>25</v>
      </c>
      <c r="D2" s="5" t="n">
        <v>20</v>
      </c>
      <c r="E2" s="5" t="n">
        <v>10</v>
      </c>
      <c r="F2" s="5" t="n">
        <v>15</v>
      </c>
      <c r="G2" s="5" t="n">
        <v>30</v>
      </c>
      <c r="H2" s="5"/>
      <c r="I2" s="5" t="n">
        <v>25</v>
      </c>
      <c r="J2" s="5" t="n">
        <v>25</v>
      </c>
      <c r="K2" s="5" t="n">
        <v>10</v>
      </c>
      <c r="L2" s="5" t="n">
        <v>15</v>
      </c>
      <c r="M2" s="5" t="n">
        <v>25</v>
      </c>
      <c r="N2" s="5"/>
      <c r="O2" s="5" t="n">
        <v>25</v>
      </c>
      <c r="P2" s="5" t="n">
        <v>20</v>
      </c>
      <c r="Q2" s="5" t="n">
        <v>10</v>
      </c>
      <c r="R2" s="5" t="n">
        <v>15</v>
      </c>
      <c r="S2" s="5" t="n">
        <v>30</v>
      </c>
      <c r="T2" s="5"/>
      <c r="U2" s="5" t="n">
        <v>25</v>
      </c>
      <c r="V2" s="5" t="n">
        <v>25</v>
      </c>
      <c r="W2" s="5" t="n">
        <v>10</v>
      </c>
      <c r="X2" s="5" t="n">
        <v>15</v>
      </c>
      <c r="Y2" s="5" t="n">
        <v>25</v>
      </c>
      <c r="Z2" s="5"/>
      <c r="AA2" s="5" t="n">
        <v>25</v>
      </c>
      <c r="AB2" s="5" t="n">
        <v>25</v>
      </c>
      <c r="AC2" s="5" t="n">
        <v>10</v>
      </c>
      <c r="AD2" s="5" t="n">
        <v>15</v>
      </c>
      <c r="AE2" s="5" t="n">
        <v>25</v>
      </c>
      <c r="AF2" s="5"/>
      <c r="AG2" s="5" t="n">
        <v>25</v>
      </c>
      <c r="AH2" s="5" t="n">
        <v>20</v>
      </c>
      <c r="AI2" s="5" t="n">
        <v>10</v>
      </c>
      <c r="AJ2" s="5" t="n">
        <v>15</v>
      </c>
      <c r="AK2" s="5" t="n">
        <v>30</v>
      </c>
      <c r="AL2" s="5"/>
      <c r="AM2" s="5" t="n">
        <v>25</v>
      </c>
      <c r="AN2" s="5" t="n">
        <v>25</v>
      </c>
      <c r="AO2" s="5" t="n">
        <v>10</v>
      </c>
      <c r="AP2" s="5" t="n">
        <v>15</v>
      </c>
      <c r="AQ2" s="5" t="n">
        <v>25</v>
      </c>
      <c r="AR2" s="5"/>
      <c r="AS2" s="5" t="n">
        <v>25</v>
      </c>
      <c r="AT2" s="5" t="n">
        <v>25</v>
      </c>
      <c r="AU2" s="5" t="n">
        <v>10</v>
      </c>
      <c r="AV2" s="5" t="n">
        <v>15</v>
      </c>
      <c r="AW2" s="5" t="n">
        <v>25</v>
      </c>
      <c r="AX2" s="5"/>
      <c r="AY2" s="5" t="n">
        <v>25</v>
      </c>
      <c r="AZ2" s="5" t="n">
        <v>25</v>
      </c>
      <c r="BA2" s="5" t="n">
        <v>10</v>
      </c>
      <c r="BB2" s="5" t="n">
        <v>15</v>
      </c>
      <c r="BC2" s="5" t="n">
        <v>25</v>
      </c>
      <c r="BD2" s="5"/>
      <c r="BE2" s="5" t="n">
        <v>25</v>
      </c>
      <c r="BF2" s="5" t="n">
        <v>25</v>
      </c>
      <c r="BG2" s="5" t="n">
        <v>10</v>
      </c>
      <c r="BH2" s="5" t="n">
        <v>15</v>
      </c>
      <c r="BI2" s="5" t="n">
        <v>25</v>
      </c>
      <c r="BK2" s="5" t="n">
        <f aca="false">AVERAGE(C2,I2,O2,U2,AA2,AG2,AM2,AS2,AY2,BE2)</f>
        <v>25</v>
      </c>
      <c r="BL2" s="5" t="n">
        <f aca="false">AVERAGE(D2,J2,P2,V2,AB2,AH2,AN2,AT2,AZ2,BF2)</f>
        <v>23.5</v>
      </c>
      <c r="BM2" s="5" t="n">
        <f aca="false">AVERAGE(,E2,K2,Q2,W2,AC2,AI2,AO2,AU2,BA2,BG2)</f>
        <v>9.09090909090909</v>
      </c>
      <c r="BN2" s="5" t="n">
        <f aca="false">AVERAGE(F2,L2,R2,X2,AD2,AJ2,AP2,AV2,BB2,BH2)</f>
        <v>15</v>
      </c>
      <c r="BO2" s="5" t="n">
        <f aca="false">AVERAGE(G2,M2,S2,Y2,AE2,AK2,AQ2,AW2,BC2,BI2)</f>
        <v>26.5</v>
      </c>
      <c r="BQ2" s="5" t="n">
        <f aca="false">_xlfn.STDEV.P(C2,I2,O2,U2,AA2,AG2,AM2,AS2,AY2,BE2)</f>
        <v>0</v>
      </c>
      <c r="BR2" s="5" t="n">
        <f aca="false">_xlfn.STDEV.P(D2,J2,P2,V2,AB2,AH2,AN2,AT2,AZ2,BF2)</f>
        <v>2.29128784747792</v>
      </c>
      <c r="BS2" s="5" t="n">
        <f aca="false">_xlfn.STDEV.P(,E2,K2,Q2,W2,AC2,AI2,AO2,AU2,BA2,BG2)</f>
        <v>2.87479787288034</v>
      </c>
      <c r="BT2" s="5" t="n">
        <f aca="false">_xlfn.STDEV.P(F2,L2,R2,X2,AD2,AJ2,AP2,AV2,BB2,BH2)</f>
        <v>0</v>
      </c>
      <c r="BU2" s="5" t="n">
        <f aca="false">_xlfn.STDEV.P(G2,M2,S2,Y2,AE2,AK2,AQ2,AW2,BC2,BI2)</f>
        <v>2.29128784747792</v>
      </c>
    </row>
    <row r="3" customFormat="false" ht="12.8" hidden="false" customHeight="false" outlineLevel="0" collapsed="false">
      <c r="A3" s="1" t="n">
        <v>1</v>
      </c>
      <c r="B3" s="4" t="s">
        <v>19</v>
      </c>
      <c r="C3" s="5" t="n">
        <v>5</v>
      </c>
      <c r="D3" s="5" t="n">
        <v>20</v>
      </c>
      <c r="E3" s="5" t="n">
        <v>25</v>
      </c>
      <c r="F3" s="5" t="n">
        <v>15</v>
      </c>
      <c r="G3" s="5" t="n">
        <v>35</v>
      </c>
      <c r="H3" s="5"/>
      <c r="I3" s="5" t="n">
        <v>10</v>
      </c>
      <c r="J3" s="5" t="n">
        <v>20</v>
      </c>
      <c r="K3" s="5" t="n">
        <v>25</v>
      </c>
      <c r="L3" s="5" t="n">
        <v>15</v>
      </c>
      <c r="M3" s="5" t="n">
        <v>30</v>
      </c>
      <c r="N3" s="5"/>
      <c r="O3" s="5" t="n">
        <v>10</v>
      </c>
      <c r="P3" s="5" t="n">
        <v>20</v>
      </c>
      <c r="Q3" s="5" t="n">
        <v>25</v>
      </c>
      <c r="R3" s="5" t="n">
        <v>15</v>
      </c>
      <c r="S3" s="5" t="n">
        <v>30</v>
      </c>
      <c r="T3" s="5"/>
      <c r="U3" s="5" t="n">
        <v>10</v>
      </c>
      <c r="V3" s="5" t="n">
        <v>20</v>
      </c>
      <c r="W3" s="5" t="n">
        <v>25</v>
      </c>
      <c r="X3" s="5" t="n">
        <v>15</v>
      </c>
      <c r="Y3" s="5" t="n">
        <v>30</v>
      </c>
      <c r="Z3" s="5"/>
      <c r="AA3" s="5" t="n">
        <v>10</v>
      </c>
      <c r="AB3" s="5" t="n">
        <v>20</v>
      </c>
      <c r="AC3" s="5" t="n">
        <v>25</v>
      </c>
      <c r="AD3" s="5" t="n">
        <v>10</v>
      </c>
      <c r="AE3" s="5" t="n">
        <v>35</v>
      </c>
      <c r="AF3" s="5"/>
      <c r="AG3" s="5" t="n">
        <v>10</v>
      </c>
      <c r="AH3" s="5" t="n">
        <v>20</v>
      </c>
      <c r="AI3" s="5" t="n">
        <v>25</v>
      </c>
      <c r="AJ3" s="5" t="n">
        <v>15</v>
      </c>
      <c r="AK3" s="5" t="n">
        <v>30</v>
      </c>
      <c r="AL3" s="5"/>
      <c r="AM3" s="5" t="n">
        <v>10</v>
      </c>
      <c r="AN3" s="5" t="n">
        <v>20</v>
      </c>
      <c r="AO3" s="5" t="n">
        <v>25</v>
      </c>
      <c r="AP3" s="5" t="n">
        <v>15</v>
      </c>
      <c r="AQ3" s="5" t="n">
        <v>30</v>
      </c>
      <c r="AR3" s="5"/>
      <c r="AS3" s="5" t="n">
        <v>10</v>
      </c>
      <c r="AT3" s="5" t="n">
        <v>20</v>
      </c>
      <c r="AU3" s="5" t="n">
        <v>25</v>
      </c>
      <c r="AV3" s="5" t="n">
        <v>15</v>
      </c>
      <c r="AW3" s="5" t="n">
        <v>30</v>
      </c>
      <c r="AX3" s="5"/>
      <c r="AY3" s="5" t="n">
        <v>15</v>
      </c>
      <c r="AZ3" s="5" t="n">
        <v>20</v>
      </c>
      <c r="BA3" s="5" t="n">
        <v>25</v>
      </c>
      <c r="BB3" s="5" t="n">
        <v>10</v>
      </c>
      <c r="BC3" s="5" t="n">
        <v>30</v>
      </c>
      <c r="BD3" s="5"/>
      <c r="BE3" s="5" t="n">
        <v>10</v>
      </c>
      <c r="BF3" s="5" t="n">
        <v>20</v>
      </c>
      <c r="BG3" s="5" t="n">
        <v>25</v>
      </c>
      <c r="BH3" s="5" t="n">
        <v>15</v>
      </c>
      <c r="BI3" s="5" t="n">
        <v>30</v>
      </c>
      <c r="BK3" s="5" t="n">
        <f aca="false">AVERAGE(C3,I3,O3,U3,AA3,AG3,AM3,AS3,AY3,BE3)</f>
        <v>10</v>
      </c>
      <c r="BL3" s="5" t="n">
        <f aca="false">AVERAGE(D3,J3,P3,V3,AB3,AH3,AN3,AT3,AZ3,BF3)</f>
        <v>20</v>
      </c>
      <c r="BM3" s="5" t="n">
        <f aca="false">AVERAGE(,E3,K3,Q3,W3,AC3,AI3,AO3,AU3,BA3,BG3)</f>
        <v>22.7272727272727</v>
      </c>
      <c r="BN3" s="5" t="n">
        <f aca="false">AVERAGE(F3,L3,R3,X3,AD3,AJ3,AP3,AV3,BB3,BH3)</f>
        <v>14</v>
      </c>
      <c r="BO3" s="5" t="n">
        <f aca="false">AVERAGE(G3,M3,S3,Y3,AE3,AK3,AQ3,AW3,BC3,BI3)</f>
        <v>31</v>
      </c>
      <c r="BQ3" s="5" t="n">
        <f aca="false">_xlfn.STDEV.P(C3,I3,O3,U3,AA3,AG3,AM3,AS3,AY3,BE3)</f>
        <v>2.23606797749979</v>
      </c>
      <c r="BR3" s="5" t="n">
        <f aca="false">_xlfn.STDEV.P(D3,J3,P3,V3,AB3,AH3,AN3,AT3,AZ3,BF3)</f>
        <v>0</v>
      </c>
      <c r="BS3" s="5" t="n">
        <f aca="false">_xlfn.STDEV.P(,E3,K3,Q3,W3,AC3,AI3,AO3,AU3,BA3,BG3)</f>
        <v>7.18699468220086</v>
      </c>
      <c r="BT3" s="5" t="n">
        <f aca="false">_xlfn.STDEV.P(F3,L3,R3,X3,AD3,AJ3,AP3,AV3,BB3,BH3)</f>
        <v>2</v>
      </c>
      <c r="BU3" s="5" t="n">
        <f aca="false">_xlfn.STDEV.P(G3,M3,S3,Y3,AE3,AK3,AQ3,AW3,BC3,BI3)</f>
        <v>2</v>
      </c>
    </row>
    <row r="4" customFormat="false" ht="12.8" hidden="false" customHeight="false" outlineLevel="0" collapsed="false">
      <c r="A4" s="1" t="n">
        <v>1</v>
      </c>
      <c r="B4" s="4" t="s">
        <v>20</v>
      </c>
      <c r="C4" s="5" t="n">
        <v>15</v>
      </c>
      <c r="D4" s="5" t="n">
        <v>25</v>
      </c>
      <c r="E4" s="5" t="n">
        <v>15</v>
      </c>
      <c r="F4" s="5" t="n">
        <v>15</v>
      </c>
      <c r="G4" s="5" t="n">
        <v>30</v>
      </c>
      <c r="H4" s="5"/>
      <c r="I4" s="5" t="n">
        <v>15</v>
      </c>
      <c r="J4" s="5" t="n">
        <v>25</v>
      </c>
      <c r="K4" s="5" t="n">
        <v>10</v>
      </c>
      <c r="L4" s="5" t="n">
        <v>20</v>
      </c>
      <c r="M4" s="5" t="n">
        <v>30</v>
      </c>
      <c r="N4" s="5"/>
      <c r="O4" s="5" t="n">
        <v>15</v>
      </c>
      <c r="P4" s="5" t="n">
        <v>25</v>
      </c>
      <c r="Q4" s="5" t="n">
        <v>15</v>
      </c>
      <c r="R4" s="5" t="n">
        <v>10</v>
      </c>
      <c r="S4" s="5" t="n">
        <v>35</v>
      </c>
      <c r="T4" s="5"/>
      <c r="U4" s="5" t="n">
        <v>15</v>
      </c>
      <c r="V4" s="5" t="n">
        <v>25</v>
      </c>
      <c r="W4" s="5" t="n">
        <v>10</v>
      </c>
      <c r="X4" s="5" t="n">
        <v>15</v>
      </c>
      <c r="Y4" s="5" t="n">
        <v>35</v>
      </c>
      <c r="Z4" s="5"/>
      <c r="AA4" s="5" t="n">
        <v>15</v>
      </c>
      <c r="AB4" s="5" t="n">
        <v>25</v>
      </c>
      <c r="AC4" s="5" t="n">
        <v>10</v>
      </c>
      <c r="AD4" s="5" t="n">
        <v>15</v>
      </c>
      <c r="AE4" s="5" t="n">
        <v>35</v>
      </c>
      <c r="AF4" s="5"/>
      <c r="AG4" s="5" t="n">
        <v>15</v>
      </c>
      <c r="AH4" s="5" t="n">
        <v>25</v>
      </c>
      <c r="AI4" s="5" t="n">
        <v>10</v>
      </c>
      <c r="AJ4" s="5" t="n">
        <v>20</v>
      </c>
      <c r="AK4" s="5" t="n">
        <v>30</v>
      </c>
      <c r="AL4" s="5"/>
      <c r="AM4" s="5" t="n">
        <v>15</v>
      </c>
      <c r="AN4" s="5" t="n">
        <v>25</v>
      </c>
      <c r="AO4" s="5" t="n">
        <v>10</v>
      </c>
      <c r="AP4" s="5" t="n">
        <v>20</v>
      </c>
      <c r="AQ4" s="5" t="n">
        <v>30</v>
      </c>
      <c r="AR4" s="5"/>
      <c r="AS4" s="5" t="n">
        <v>15</v>
      </c>
      <c r="AT4" s="5" t="n">
        <v>25</v>
      </c>
      <c r="AU4" s="5" t="n">
        <v>10</v>
      </c>
      <c r="AV4" s="5" t="n">
        <v>20</v>
      </c>
      <c r="AW4" s="5" t="n">
        <v>30</v>
      </c>
      <c r="AX4" s="5"/>
      <c r="AY4" s="5" t="n">
        <v>15</v>
      </c>
      <c r="AZ4" s="5" t="n">
        <v>25</v>
      </c>
      <c r="BA4" s="5" t="n">
        <v>15</v>
      </c>
      <c r="BB4" s="5" t="n">
        <v>20</v>
      </c>
      <c r="BC4" s="5" t="n">
        <v>25</v>
      </c>
      <c r="BD4" s="5"/>
      <c r="BE4" s="5" t="n">
        <v>15</v>
      </c>
      <c r="BF4" s="5" t="n">
        <v>25</v>
      </c>
      <c r="BG4" s="5" t="n">
        <v>10</v>
      </c>
      <c r="BH4" s="5" t="n">
        <v>20</v>
      </c>
      <c r="BI4" s="5" t="n">
        <v>30</v>
      </c>
      <c r="BK4" s="5" t="n">
        <f aca="false">AVERAGE(C4,I4,O4,U4,AA4,AG4,AM4,AS4,AY4,BE4)</f>
        <v>15</v>
      </c>
      <c r="BL4" s="5" t="n">
        <f aca="false">AVERAGE(D4,J4,P4,V4,AB4,AH4,AN4,AT4,AZ4,BF4)</f>
        <v>25</v>
      </c>
      <c r="BM4" s="5" t="n">
        <f aca="false">AVERAGE(,E4,K4,Q4,W4,AC4,AI4,AO4,AU4,BA4,BG4)</f>
        <v>10.4545454545455</v>
      </c>
      <c r="BN4" s="5" t="n">
        <f aca="false">AVERAGE(F4,L4,R4,X4,AD4,AJ4,AP4,AV4,BB4,BH4)</f>
        <v>17.5</v>
      </c>
      <c r="BO4" s="5" t="n">
        <f aca="false">AVERAGE(G4,M4,S4,Y4,AE4,AK4,AQ4,AW4,BC4,BI4)</f>
        <v>31</v>
      </c>
      <c r="BQ4" s="5" t="n">
        <f aca="false">_xlfn.STDEV.P(C4,I4,O4,U4,AA4,AG4,AM4,AS4,AY4,BE4)</f>
        <v>0</v>
      </c>
      <c r="BR4" s="5" t="n">
        <f aca="false">_xlfn.STDEV.P(D4,J4,P4,V4,AB4,AH4,AN4,AT4,AZ4,BF4)</f>
        <v>0</v>
      </c>
      <c r="BS4" s="5" t="n">
        <f aca="false">_xlfn.STDEV.P(,E4,K4,Q4,W4,AC4,AI4,AO4,AU4,BA4,BG4)</f>
        <v>3.96263540321879</v>
      </c>
      <c r="BT4" s="5" t="n">
        <f aca="false">_xlfn.STDEV.P(F4,L4,R4,X4,AD4,AJ4,AP4,AV4,BB4,BH4)</f>
        <v>3.35410196624968</v>
      </c>
      <c r="BU4" s="5" t="n">
        <f aca="false">_xlfn.STDEV.P(G4,M4,S4,Y4,AE4,AK4,AQ4,AW4,BC4,BI4)</f>
        <v>3</v>
      </c>
    </row>
    <row r="5" customFormat="false" ht="12.8" hidden="false" customHeight="false" outlineLevel="0" collapsed="false">
      <c r="A5" s="1" t="n">
        <v>1</v>
      </c>
      <c r="B5" s="4" t="s">
        <v>21</v>
      </c>
      <c r="C5" s="5" t="n">
        <v>15</v>
      </c>
      <c r="D5" s="5" t="n">
        <v>20</v>
      </c>
      <c r="E5" s="5" t="n">
        <v>25</v>
      </c>
      <c r="F5" s="5" t="n">
        <v>15</v>
      </c>
      <c r="G5" s="5" t="n">
        <v>25</v>
      </c>
      <c r="H5" s="5"/>
      <c r="I5" s="5" t="n">
        <v>10</v>
      </c>
      <c r="J5" s="5" t="n">
        <v>15</v>
      </c>
      <c r="K5" s="5" t="n">
        <v>30</v>
      </c>
      <c r="L5" s="5" t="n">
        <v>10</v>
      </c>
      <c r="M5" s="5" t="n">
        <v>35</v>
      </c>
      <c r="N5" s="5"/>
      <c r="O5" s="5" t="n">
        <v>10</v>
      </c>
      <c r="P5" s="5" t="n">
        <v>20</v>
      </c>
      <c r="Q5" s="5" t="n">
        <v>30</v>
      </c>
      <c r="R5" s="5" t="n">
        <v>5</v>
      </c>
      <c r="S5" s="5" t="n">
        <v>35</v>
      </c>
      <c r="T5" s="5"/>
      <c r="U5" s="5" t="n">
        <v>15</v>
      </c>
      <c r="V5" s="5" t="n">
        <v>20</v>
      </c>
      <c r="W5" s="5" t="n">
        <v>25</v>
      </c>
      <c r="X5" s="5" t="n">
        <v>10</v>
      </c>
      <c r="Y5" s="5" t="n">
        <v>30</v>
      </c>
      <c r="Z5" s="5"/>
      <c r="AA5" s="5" t="n">
        <v>15</v>
      </c>
      <c r="AB5" s="5" t="n">
        <v>20</v>
      </c>
      <c r="AC5" s="5" t="n">
        <v>25</v>
      </c>
      <c r="AD5" s="5" t="n">
        <v>10</v>
      </c>
      <c r="AE5" s="5" t="n">
        <v>30</v>
      </c>
      <c r="AF5" s="5"/>
      <c r="AG5" s="5" t="n">
        <v>15</v>
      </c>
      <c r="AH5" s="5" t="n">
        <v>20</v>
      </c>
      <c r="AI5" s="5" t="n">
        <v>25</v>
      </c>
      <c r="AJ5" s="5" t="n">
        <v>15</v>
      </c>
      <c r="AK5" s="5" t="n">
        <v>25</v>
      </c>
      <c r="AL5" s="5"/>
      <c r="AM5" s="5" t="n">
        <v>15</v>
      </c>
      <c r="AN5" s="5" t="n">
        <v>20</v>
      </c>
      <c r="AO5" s="5" t="n">
        <v>25</v>
      </c>
      <c r="AP5" s="5" t="n">
        <v>15</v>
      </c>
      <c r="AQ5" s="5" t="n">
        <v>25</v>
      </c>
      <c r="AR5" s="5"/>
      <c r="AS5" s="5" t="n">
        <v>15</v>
      </c>
      <c r="AT5" s="5" t="n">
        <v>20</v>
      </c>
      <c r="AU5" s="5" t="n">
        <v>25</v>
      </c>
      <c r="AV5" s="5" t="n">
        <v>15</v>
      </c>
      <c r="AW5" s="5" t="n">
        <v>25</v>
      </c>
      <c r="AX5" s="5"/>
      <c r="AY5" s="5" t="n">
        <v>15</v>
      </c>
      <c r="AZ5" s="5" t="n">
        <v>20</v>
      </c>
      <c r="BA5" s="5" t="n">
        <v>25</v>
      </c>
      <c r="BB5" s="5" t="n">
        <v>15</v>
      </c>
      <c r="BC5" s="5" t="n">
        <v>25</v>
      </c>
      <c r="BD5" s="5"/>
      <c r="BE5" s="5" t="n">
        <v>10</v>
      </c>
      <c r="BF5" s="5" t="n">
        <v>20</v>
      </c>
      <c r="BG5" s="5" t="n">
        <v>30</v>
      </c>
      <c r="BH5" s="5" t="n">
        <v>10</v>
      </c>
      <c r="BI5" s="5" t="n">
        <v>30</v>
      </c>
      <c r="BK5" s="5" t="n">
        <f aca="false">AVERAGE(C5,I5,O5,U5,AA5,AG5,AM5,AS5,AY5,BE5)</f>
        <v>13.5</v>
      </c>
      <c r="BL5" s="5" t="n">
        <f aca="false">AVERAGE(D5,J5,P5,V5,AB5,AH5,AN5,AT5,AZ5,BF5)</f>
        <v>19.5</v>
      </c>
      <c r="BM5" s="5" t="n">
        <f aca="false">AVERAGE(,E5,K5,Q5,W5,AC5,AI5,AO5,AU5,BA5,BG5)</f>
        <v>24.0909090909091</v>
      </c>
      <c r="BN5" s="5" t="n">
        <f aca="false">AVERAGE(F5,L5,R5,X5,AD5,AJ5,AP5,AV5,BB5,BH5)</f>
        <v>12</v>
      </c>
      <c r="BO5" s="5" t="n">
        <f aca="false">AVERAGE(G5,M5,S5,Y5,AE5,AK5,AQ5,AW5,BC5,BI5)</f>
        <v>28.5</v>
      </c>
      <c r="BQ5" s="5" t="n">
        <f aca="false">_xlfn.STDEV.P(C5,I5,O5,U5,AA5,AG5,AM5,AS5,AY5,BE5)</f>
        <v>2.29128784747792</v>
      </c>
      <c r="BR5" s="5" t="n">
        <f aca="false">_xlfn.STDEV.P(D5,J5,P5,V5,AB5,AH5,AN5,AT5,AZ5,BF5)</f>
        <v>1.5</v>
      </c>
      <c r="BS5" s="5" t="n">
        <f aca="false">_xlfn.STDEV.P(,E5,K5,Q5,W5,AC5,AI5,AO5,AU5,BA5,BG5)</f>
        <v>7.92527080643759</v>
      </c>
      <c r="BT5" s="5" t="n">
        <f aca="false">_xlfn.STDEV.P(F5,L5,R5,X5,AD5,AJ5,AP5,AV5,BB5,BH5)</f>
        <v>3.3166247903554</v>
      </c>
      <c r="BU5" s="5" t="n">
        <f aca="false">_xlfn.STDEV.P(G5,M5,S5,Y5,AE5,AK5,AQ5,AW5,BC5,BI5)</f>
        <v>3.90512483795333</v>
      </c>
    </row>
    <row r="6" customFormat="false" ht="12.8" hidden="false" customHeight="false" outlineLevel="0" collapsed="false">
      <c r="A6" s="1" t="n">
        <v>1</v>
      </c>
      <c r="B6" s="4" t="s">
        <v>22</v>
      </c>
      <c r="C6" s="5" t="n">
        <v>15</v>
      </c>
      <c r="D6" s="5" t="n">
        <v>25</v>
      </c>
      <c r="E6" s="5" t="n">
        <v>30</v>
      </c>
      <c r="F6" s="5" t="n">
        <v>10</v>
      </c>
      <c r="G6" s="5" t="n">
        <v>20</v>
      </c>
      <c r="H6" s="5"/>
      <c r="I6" s="5" t="n">
        <v>15</v>
      </c>
      <c r="J6" s="5" t="n">
        <v>25</v>
      </c>
      <c r="K6" s="5" t="n">
        <v>30</v>
      </c>
      <c r="L6" s="5" t="n">
        <v>10</v>
      </c>
      <c r="M6" s="5" t="n">
        <v>20</v>
      </c>
      <c r="N6" s="5"/>
      <c r="O6" s="5" t="n">
        <v>15</v>
      </c>
      <c r="P6" s="5" t="n">
        <v>25</v>
      </c>
      <c r="Q6" s="5" t="n">
        <v>30</v>
      </c>
      <c r="R6" s="5" t="n">
        <v>10</v>
      </c>
      <c r="S6" s="5" t="n">
        <v>20</v>
      </c>
      <c r="T6" s="5"/>
      <c r="U6" s="5" t="n">
        <v>15</v>
      </c>
      <c r="V6" s="5" t="n">
        <v>25</v>
      </c>
      <c r="W6" s="5" t="n">
        <v>30</v>
      </c>
      <c r="X6" s="5" t="n">
        <v>15</v>
      </c>
      <c r="Y6" s="5" t="n">
        <v>15</v>
      </c>
      <c r="Z6" s="5"/>
      <c r="AA6" s="5" t="n">
        <v>15</v>
      </c>
      <c r="AB6" s="5" t="n">
        <v>25</v>
      </c>
      <c r="AC6" s="5" t="n">
        <v>30</v>
      </c>
      <c r="AD6" s="5" t="n">
        <v>10</v>
      </c>
      <c r="AE6" s="5" t="n">
        <v>20</v>
      </c>
      <c r="AF6" s="5"/>
      <c r="AG6" s="5" t="n">
        <v>15</v>
      </c>
      <c r="AH6" s="5" t="n">
        <v>25</v>
      </c>
      <c r="AI6" s="5" t="n">
        <v>30</v>
      </c>
      <c r="AJ6" s="5" t="n">
        <v>10</v>
      </c>
      <c r="AK6" s="5" t="n">
        <v>20</v>
      </c>
      <c r="AL6" s="5"/>
      <c r="AM6" s="5" t="n">
        <v>15</v>
      </c>
      <c r="AN6" s="5" t="n">
        <v>25</v>
      </c>
      <c r="AO6" s="5" t="n">
        <v>30</v>
      </c>
      <c r="AP6" s="5" t="n">
        <v>15</v>
      </c>
      <c r="AQ6" s="5" t="n">
        <v>15</v>
      </c>
      <c r="AR6" s="5"/>
      <c r="AS6" s="5" t="n">
        <v>15</v>
      </c>
      <c r="AT6" s="5" t="n">
        <v>25</v>
      </c>
      <c r="AU6" s="5" t="n">
        <v>30</v>
      </c>
      <c r="AV6" s="5" t="n">
        <v>10</v>
      </c>
      <c r="AW6" s="5" t="n">
        <v>20</v>
      </c>
      <c r="AX6" s="5"/>
      <c r="AY6" s="5" t="n">
        <v>10</v>
      </c>
      <c r="AZ6" s="5" t="n">
        <v>25</v>
      </c>
      <c r="BA6" s="5" t="n">
        <v>30</v>
      </c>
      <c r="BB6" s="5" t="n">
        <v>15</v>
      </c>
      <c r="BC6" s="5" t="n">
        <v>20</v>
      </c>
      <c r="BD6" s="5"/>
      <c r="BE6" s="5" t="n">
        <v>15</v>
      </c>
      <c r="BF6" s="5" t="n">
        <v>25</v>
      </c>
      <c r="BG6" s="5" t="n">
        <v>30</v>
      </c>
      <c r="BH6" s="5" t="n">
        <v>20</v>
      </c>
      <c r="BI6" s="5" t="n">
        <v>10</v>
      </c>
      <c r="BK6" s="5" t="n">
        <f aca="false">AVERAGE(C6,I6,O6,U6,AA6,AG6,AM6,AS6,AY6,BE6)</f>
        <v>14.5</v>
      </c>
      <c r="BL6" s="5" t="n">
        <f aca="false">AVERAGE(D6,J6,P6,V6,AB6,AH6,AN6,AT6,AZ6,BF6)</f>
        <v>25</v>
      </c>
      <c r="BM6" s="5" t="n">
        <f aca="false">AVERAGE(,E6,K6,Q6,W6,AC6,AI6,AO6,AU6,BA6,BG6)</f>
        <v>27.2727272727273</v>
      </c>
      <c r="BN6" s="5" t="n">
        <f aca="false">AVERAGE(F6,L6,R6,X6,AD6,AJ6,AP6,AV6,BB6,BH6)</f>
        <v>12.5</v>
      </c>
      <c r="BO6" s="5" t="n">
        <f aca="false">AVERAGE(G6,M6,S6,Y6,AE6,AK6,AQ6,AW6,BC6,BI6)</f>
        <v>18</v>
      </c>
      <c r="BQ6" s="5" t="n">
        <f aca="false">_xlfn.STDEV.P(C6,I6,O6,U6,AA6,AG6,AM6,AS6,AY6,BE6)</f>
        <v>1.5</v>
      </c>
      <c r="BR6" s="5" t="n">
        <f aca="false">_xlfn.STDEV.P(D6,J6,P6,V6,AB6,AH6,AN6,AT6,AZ6,BF6)</f>
        <v>0</v>
      </c>
      <c r="BS6" s="5" t="n">
        <f aca="false">_xlfn.STDEV.P(,E6,K6,Q6,W6,AC6,AI6,AO6,AU6,BA6,BG6)</f>
        <v>8.62439361864104</v>
      </c>
      <c r="BT6" s="5" t="n">
        <f aca="false">_xlfn.STDEV.P(F6,L6,R6,X6,AD6,AJ6,AP6,AV6,BB6,BH6)</f>
        <v>3.35410196624968</v>
      </c>
      <c r="BU6" s="5" t="n">
        <f aca="false">_xlfn.STDEV.P(G6,M6,S6,Y6,AE6,AK6,AQ6,AW6,BC6,BI6)</f>
        <v>3.3166247903554</v>
      </c>
    </row>
    <row r="7" customFormat="false" ht="12.8" hidden="false" customHeight="false" outlineLevel="0" collapsed="false">
      <c r="A7" s="1" t="n">
        <v>1</v>
      </c>
      <c r="B7" s="4" t="s">
        <v>23</v>
      </c>
      <c r="C7" s="5" t="n">
        <v>15</v>
      </c>
      <c r="D7" s="5" t="n">
        <v>25</v>
      </c>
      <c r="E7" s="5" t="n">
        <v>10</v>
      </c>
      <c r="F7" s="5" t="n">
        <v>15</v>
      </c>
      <c r="G7" s="5" t="n">
        <v>35</v>
      </c>
      <c r="H7" s="5"/>
      <c r="I7" s="5" t="n">
        <v>15</v>
      </c>
      <c r="J7" s="5" t="n">
        <v>25</v>
      </c>
      <c r="K7" s="5" t="n">
        <v>10</v>
      </c>
      <c r="L7" s="5" t="n">
        <v>15</v>
      </c>
      <c r="M7" s="5" t="n">
        <v>35</v>
      </c>
      <c r="N7" s="5"/>
      <c r="O7" s="5" t="n">
        <v>15</v>
      </c>
      <c r="P7" s="5" t="n">
        <v>25</v>
      </c>
      <c r="Q7" s="5" t="n">
        <v>10</v>
      </c>
      <c r="R7" s="5" t="n">
        <v>20</v>
      </c>
      <c r="S7" s="5" t="n">
        <v>30</v>
      </c>
      <c r="T7" s="5"/>
      <c r="U7" s="5" t="n">
        <v>15</v>
      </c>
      <c r="V7" s="5" t="n">
        <v>25</v>
      </c>
      <c r="W7" s="5" t="n">
        <v>10</v>
      </c>
      <c r="X7" s="5" t="n">
        <v>20</v>
      </c>
      <c r="Y7" s="5" t="n">
        <v>30</v>
      </c>
      <c r="Z7" s="5"/>
      <c r="AA7" s="5" t="n">
        <v>15</v>
      </c>
      <c r="AB7" s="5" t="n">
        <v>25</v>
      </c>
      <c r="AC7" s="5" t="n">
        <v>10</v>
      </c>
      <c r="AD7" s="5" t="n">
        <v>20</v>
      </c>
      <c r="AE7" s="5" t="n">
        <v>30</v>
      </c>
      <c r="AF7" s="5"/>
      <c r="AG7" s="5" t="n">
        <v>15</v>
      </c>
      <c r="AH7" s="5" t="n">
        <v>25</v>
      </c>
      <c r="AI7" s="5" t="n">
        <v>10</v>
      </c>
      <c r="AJ7" s="5" t="n">
        <v>20</v>
      </c>
      <c r="AK7" s="5" t="n">
        <v>30</v>
      </c>
      <c r="AL7" s="5"/>
      <c r="AM7" s="5" t="n">
        <v>15</v>
      </c>
      <c r="AN7" s="5" t="n">
        <v>25</v>
      </c>
      <c r="AO7" s="5" t="n">
        <v>10</v>
      </c>
      <c r="AP7" s="5" t="n">
        <v>20</v>
      </c>
      <c r="AQ7" s="5" t="n">
        <v>30</v>
      </c>
      <c r="AR7" s="5"/>
      <c r="AS7" s="5" t="n">
        <v>15</v>
      </c>
      <c r="AT7" s="5" t="n">
        <v>25</v>
      </c>
      <c r="AU7" s="5" t="n">
        <v>10</v>
      </c>
      <c r="AV7" s="5" t="n">
        <v>15</v>
      </c>
      <c r="AW7" s="5" t="n">
        <v>35</v>
      </c>
      <c r="AX7" s="5"/>
      <c r="AY7" s="5" t="n">
        <v>15</v>
      </c>
      <c r="AZ7" s="5" t="n">
        <v>25</v>
      </c>
      <c r="BA7" s="5" t="n">
        <v>10</v>
      </c>
      <c r="BB7" s="5" t="n">
        <v>15</v>
      </c>
      <c r="BC7" s="5" t="n">
        <v>35</v>
      </c>
      <c r="BD7" s="5"/>
      <c r="BE7" s="5" t="n">
        <v>15</v>
      </c>
      <c r="BF7" s="5" t="n">
        <v>25</v>
      </c>
      <c r="BG7" s="5" t="n">
        <v>10</v>
      </c>
      <c r="BH7" s="5" t="n">
        <v>15</v>
      </c>
      <c r="BI7" s="5" t="n">
        <v>35</v>
      </c>
      <c r="BK7" s="5" t="n">
        <f aca="false">AVERAGE(C7,I7,O7,U7,AA7,AG7,AM7,AS7,AY7,BE7)</f>
        <v>15</v>
      </c>
      <c r="BL7" s="5" t="n">
        <f aca="false">AVERAGE(D7,J7,P7,V7,AB7,AH7,AN7,AT7,AZ7,BF7)</f>
        <v>25</v>
      </c>
      <c r="BM7" s="5" t="n">
        <f aca="false">AVERAGE(,E7,K7,Q7,W7,AC7,AI7,AO7,AU7,BA7,BG7)</f>
        <v>9.09090909090909</v>
      </c>
      <c r="BN7" s="5" t="n">
        <f aca="false">AVERAGE(F7,L7,R7,X7,AD7,AJ7,AP7,AV7,BB7,BH7)</f>
        <v>17.5</v>
      </c>
      <c r="BO7" s="5" t="n">
        <f aca="false">AVERAGE(G7,M7,S7,Y7,AE7,AK7,AQ7,AW7,BC7,BI7)</f>
        <v>32.5</v>
      </c>
      <c r="BQ7" s="5" t="n">
        <f aca="false">_xlfn.STDEV.P(C7,I7,O7,U7,AA7,AG7,AM7,AS7,AY7,BE7)</f>
        <v>0</v>
      </c>
      <c r="BR7" s="5" t="n">
        <f aca="false">_xlfn.STDEV.P(D7,J7,P7,V7,AB7,AH7,AN7,AT7,AZ7,BF7)</f>
        <v>0</v>
      </c>
      <c r="BS7" s="5" t="n">
        <f aca="false">_xlfn.STDEV.P(,E7,K7,Q7,W7,AC7,AI7,AO7,AU7,BA7,BG7)</f>
        <v>2.87479787288034</v>
      </c>
      <c r="BT7" s="5" t="n">
        <f aca="false">_xlfn.STDEV.P(F7,L7,R7,X7,AD7,AJ7,AP7,AV7,BB7,BH7)</f>
        <v>2.5</v>
      </c>
      <c r="BU7" s="5" t="n">
        <f aca="false">_xlfn.STDEV.P(G7,M7,S7,Y7,AE7,AK7,AQ7,AW7,BC7,BI7)</f>
        <v>2.5</v>
      </c>
    </row>
    <row r="8" customFormat="false" ht="12.8" hidden="false" customHeight="false" outlineLevel="0" collapsed="false">
      <c r="A8" s="1" t="n">
        <v>1</v>
      </c>
      <c r="B8" s="4" t="s">
        <v>24</v>
      </c>
      <c r="C8" s="5" t="n">
        <v>25</v>
      </c>
      <c r="D8" s="5" t="n">
        <v>30</v>
      </c>
      <c r="E8" s="5" t="n">
        <v>10</v>
      </c>
      <c r="F8" s="5" t="n">
        <v>15</v>
      </c>
      <c r="G8" s="5" t="n">
        <v>20</v>
      </c>
      <c r="H8" s="5"/>
      <c r="I8" s="5" t="n">
        <v>25</v>
      </c>
      <c r="J8" s="5" t="n">
        <v>30</v>
      </c>
      <c r="K8" s="5" t="n">
        <v>10</v>
      </c>
      <c r="L8" s="5" t="n">
        <v>15</v>
      </c>
      <c r="M8" s="5" t="n">
        <v>20</v>
      </c>
      <c r="N8" s="5"/>
      <c r="O8" s="5" t="n">
        <v>25</v>
      </c>
      <c r="P8" s="5" t="n">
        <v>25</v>
      </c>
      <c r="Q8" s="5" t="n">
        <v>10</v>
      </c>
      <c r="R8" s="5" t="n">
        <v>15</v>
      </c>
      <c r="S8" s="5" t="n">
        <v>25</v>
      </c>
      <c r="T8" s="5"/>
      <c r="U8" s="5" t="n">
        <v>25</v>
      </c>
      <c r="V8" s="5" t="n">
        <v>30</v>
      </c>
      <c r="W8" s="5" t="n">
        <v>10</v>
      </c>
      <c r="X8" s="5" t="n">
        <v>15</v>
      </c>
      <c r="Y8" s="5" t="n">
        <v>20</v>
      </c>
      <c r="Z8" s="5"/>
      <c r="AA8" s="5" t="n">
        <v>25</v>
      </c>
      <c r="AB8" s="5" t="n">
        <v>30</v>
      </c>
      <c r="AC8" s="5" t="n">
        <v>10</v>
      </c>
      <c r="AD8" s="5" t="n">
        <v>15</v>
      </c>
      <c r="AE8" s="5" t="n">
        <v>20</v>
      </c>
      <c r="AF8" s="5"/>
      <c r="AG8" s="5" t="n">
        <v>25</v>
      </c>
      <c r="AH8" s="5" t="n">
        <v>30</v>
      </c>
      <c r="AI8" s="5" t="n">
        <v>10</v>
      </c>
      <c r="AJ8" s="5" t="n">
        <v>15</v>
      </c>
      <c r="AK8" s="5" t="n">
        <v>20</v>
      </c>
      <c r="AL8" s="5"/>
      <c r="AM8" s="5" t="n">
        <v>25</v>
      </c>
      <c r="AN8" s="5" t="n">
        <v>30</v>
      </c>
      <c r="AO8" s="5" t="n">
        <v>10</v>
      </c>
      <c r="AP8" s="5" t="n">
        <v>15</v>
      </c>
      <c r="AQ8" s="5" t="n">
        <v>20</v>
      </c>
      <c r="AR8" s="5"/>
      <c r="AS8" s="5" t="n">
        <v>25</v>
      </c>
      <c r="AT8" s="5" t="n">
        <v>30</v>
      </c>
      <c r="AU8" s="5" t="n">
        <v>10</v>
      </c>
      <c r="AV8" s="5" t="n">
        <v>15</v>
      </c>
      <c r="AW8" s="5" t="n">
        <v>20</v>
      </c>
      <c r="AX8" s="5"/>
      <c r="AY8" s="5" t="n">
        <v>25</v>
      </c>
      <c r="AZ8" s="5" t="n">
        <v>20</v>
      </c>
      <c r="BA8" s="5" t="n">
        <v>5</v>
      </c>
      <c r="BB8" s="5" t="n">
        <v>15</v>
      </c>
      <c r="BC8" s="5" t="n">
        <v>35</v>
      </c>
      <c r="BD8" s="5"/>
      <c r="BE8" s="5" t="n">
        <v>25</v>
      </c>
      <c r="BF8" s="5" t="n">
        <v>30</v>
      </c>
      <c r="BG8" s="5" t="n">
        <v>10</v>
      </c>
      <c r="BH8" s="5" t="n">
        <v>15</v>
      </c>
      <c r="BI8" s="5" t="n">
        <v>20</v>
      </c>
      <c r="BK8" s="5" t="n">
        <f aca="false">AVERAGE(C8,I8,O8,U8,AA8,AG8,AM8,AS8,AY8,BE8)</f>
        <v>25</v>
      </c>
      <c r="BL8" s="5" t="n">
        <f aca="false">AVERAGE(D8,J8,P8,V8,AB8,AH8,AN8,AT8,AZ8,BF8)</f>
        <v>28.5</v>
      </c>
      <c r="BM8" s="5" t="n">
        <f aca="false">AVERAGE(,E8,K8,Q8,W8,AC8,AI8,AO8,AU8,BA8,BG8)</f>
        <v>8.63636363636364</v>
      </c>
      <c r="BN8" s="5" t="n">
        <f aca="false">AVERAGE(F8,L8,R8,X8,AD8,AJ8,AP8,AV8,BB8,BH8)</f>
        <v>15</v>
      </c>
      <c r="BO8" s="5" t="n">
        <f aca="false">AVERAGE(G8,M8,S8,Y8,AE8,AK8,AQ8,AW8,BC8,BI8)</f>
        <v>22</v>
      </c>
      <c r="BQ8" s="5" t="n">
        <f aca="false">_xlfn.STDEV.P(C8,I8,O8,U8,AA8,AG8,AM8,AS8,AY8,BE8)</f>
        <v>0</v>
      </c>
      <c r="BR8" s="5" t="n">
        <f aca="false">_xlfn.STDEV.P(D8,J8,P8,V8,AB8,AH8,AN8,AT8,AZ8,BF8)</f>
        <v>3.20156211871642</v>
      </c>
      <c r="BS8" s="5" t="n">
        <f aca="false">_xlfn.STDEV.P(,E8,K8,Q8,W8,AC8,AI8,AO8,AU8,BA8,BG8)</f>
        <v>3.08287726505694</v>
      </c>
      <c r="BT8" s="5" t="n">
        <f aca="false">_xlfn.STDEV.P(F8,L8,R8,X8,AD8,AJ8,AP8,AV8,BB8,BH8)</f>
        <v>0</v>
      </c>
      <c r="BU8" s="5" t="n">
        <f aca="false">_xlfn.STDEV.P(G8,M8,S8,Y8,AE8,AK8,AQ8,AW8,BC8,BI8)</f>
        <v>4.58257569495584</v>
      </c>
    </row>
    <row r="9" customFormat="false" ht="12.8" hidden="false" customHeight="false" outlineLevel="0" collapsed="false">
      <c r="A9" s="1" t="n">
        <v>1</v>
      </c>
      <c r="B9" s="4" t="s">
        <v>25</v>
      </c>
      <c r="C9" s="5" t="n">
        <v>25</v>
      </c>
      <c r="D9" s="5" t="n">
        <v>25</v>
      </c>
      <c r="E9" s="5" t="n">
        <v>10</v>
      </c>
      <c r="F9" s="5" t="n">
        <v>15</v>
      </c>
      <c r="G9" s="5" t="n">
        <v>25</v>
      </c>
      <c r="H9" s="5"/>
      <c r="I9" s="5" t="n">
        <v>25</v>
      </c>
      <c r="J9" s="5" t="n">
        <v>25</v>
      </c>
      <c r="K9" s="5" t="n">
        <v>10</v>
      </c>
      <c r="L9" s="5" t="n">
        <v>15</v>
      </c>
      <c r="M9" s="5" t="n">
        <v>25</v>
      </c>
      <c r="N9" s="5"/>
      <c r="O9" s="5" t="n">
        <v>25</v>
      </c>
      <c r="P9" s="5" t="n">
        <v>25</v>
      </c>
      <c r="Q9" s="5" t="n">
        <v>10</v>
      </c>
      <c r="R9" s="5" t="n">
        <v>15</v>
      </c>
      <c r="S9" s="5" t="n">
        <v>25</v>
      </c>
      <c r="T9" s="5"/>
      <c r="U9" s="5" t="n">
        <v>25</v>
      </c>
      <c r="V9" s="5" t="n">
        <v>25</v>
      </c>
      <c r="W9" s="5" t="n">
        <v>10</v>
      </c>
      <c r="X9" s="5" t="n">
        <v>15</v>
      </c>
      <c r="Y9" s="5" t="n">
        <v>25</v>
      </c>
      <c r="Z9" s="5"/>
      <c r="AA9" s="5" t="n">
        <v>30</v>
      </c>
      <c r="AB9" s="5" t="n">
        <v>25</v>
      </c>
      <c r="AC9" s="5" t="n">
        <v>10</v>
      </c>
      <c r="AD9" s="5" t="n">
        <v>15</v>
      </c>
      <c r="AE9" s="5" t="n">
        <v>20</v>
      </c>
      <c r="AF9" s="5"/>
      <c r="AG9" s="5" t="n">
        <v>30</v>
      </c>
      <c r="AH9" s="5" t="n">
        <v>25</v>
      </c>
      <c r="AI9" s="5" t="n">
        <v>10</v>
      </c>
      <c r="AJ9" s="5" t="n">
        <v>15</v>
      </c>
      <c r="AK9" s="5" t="n">
        <v>20</v>
      </c>
      <c r="AL9" s="5"/>
      <c r="AM9" s="5" t="n">
        <v>30</v>
      </c>
      <c r="AN9" s="5" t="n">
        <v>25</v>
      </c>
      <c r="AO9" s="5" t="n">
        <v>10</v>
      </c>
      <c r="AP9" s="5" t="n">
        <v>15</v>
      </c>
      <c r="AQ9" s="5" t="n">
        <v>20</v>
      </c>
      <c r="AR9" s="5"/>
      <c r="AS9" s="5" t="n">
        <v>25</v>
      </c>
      <c r="AT9" s="5" t="n">
        <v>30</v>
      </c>
      <c r="AU9" s="5" t="n">
        <v>10</v>
      </c>
      <c r="AV9" s="5" t="n">
        <v>15</v>
      </c>
      <c r="AW9" s="5" t="n">
        <v>20</v>
      </c>
      <c r="AX9" s="5"/>
      <c r="AY9" s="5" t="n">
        <v>25</v>
      </c>
      <c r="AZ9" s="5" t="n">
        <v>25</v>
      </c>
      <c r="BA9" s="5" t="n">
        <v>10</v>
      </c>
      <c r="BB9" s="5" t="n">
        <v>15</v>
      </c>
      <c r="BC9" s="5" t="n">
        <v>25</v>
      </c>
      <c r="BD9" s="5"/>
      <c r="BE9" s="5" t="n">
        <v>30</v>
      </c>
      <c r="BF9" s="5" t="n">
        <v>25</v>
      </c>
      <c r="BG9" s="5" t="n">
        <v>10</v>
      </c>
      <c r="BH9" s="5" t="n">
        <v>15</v>
      </c>
      <c r="BI9" s="5" t="n">
        <v>20</v>
      </c>
      <c r="BK9" s="5" t="n">
        <f aca="false">AVERAGE(C9,I9,O9,U9,AA9,AG9,AM9,AS9,AY9,BE9)</f>
        <v>27</v>
      </c>
      <c r="BL9" s="5" t="n">
        <f aca="false">AVERAGE(D9,J9,P9,V9,AB9,AH9,AN9,AT9,AZ9,BF9)</f>
        <v>25.5</v>
      </c>
      <c r="BM9" s="5" t="n">
        <f aca="false">AVERAGE(,E9,K9,Q9,W9,AC9,AI9,AO9,AU9,BA9,BG9)</f>
        <v>9.09090909090909</v>
      </c>
      <c r="BN9" s="5" t="n">
        <f aca="false">AVERAGE(F9,L9,R9,X9,AD9,AJ9,AP9,AV9,BB9,BH9)</f>
        <v>15</v>
      </c>
      <c r="BO9" s="5" t="n">
        <f aca="false">AVERAGE(G9,M9,S9,Y9,AE9,AK9,AQ9,AW9,BC9,BI9)</f>
        <v>22.5</v>
      </c>
      <c r="BQ9" s="5" t="n">
        <f aca="false">_xlfn.STDEV.P(C9,I9,O9,U9,AA9,AG9,AM9,AS9,AY9,BE9)</f>
        <v>2.44948974278318</v>
      </c>
      <c r="BR9" s="5" t="n">
        <f aca="false">_xlfn.STDEV.P(D9,J9,P9,V9,AB9,AH9,AN9,AT9,AZ9,BF9)</f>
        <v>1.5</v>
      </c>
      <c r="BS9" s="5" t="n">
        <f aca="false">_xlfn.STDEV.P(,E9,K9,Q9,W9,AC9,AI9,AO9,AU9,BA9,BG9)</f>
        <v>2.87479787288034</v>
      </c>
      <c r="BT9" s="5" t="n">
        <f aca="false">_xlfn.STDEV.P(F9,L9,R9,X9,AD9,AJ9,AP9,AV9,BB9,BH9)</f>
        <v>0</v>
      </c>
      <c r="BU9" s="5" t="n">
        <f aca="false">_xlfn.STDEV.P(G9,M9,S9,Y9,AE9,AK9,AQ9,AW9,BC9,BI9)</f>
        <v>2.5</v>
      </c>
    </row>
    <row r="10" customFormat="false" ht="12.8" hidden="false" customHeight="false" outlineLevel="0" collapsed="false">
      <c r="A10" s="1" t="n">
        <v>1</v>
      </c>
      <c r="B10" s="4" t="s">
        <v>26</v>
      </c>
      <c r="C10" s="5" t="n">
        <v>15</v>
      </c>
      <c r="D10" s="5" t="n">
        <v>30</v>
      </c>
      <c r="E10" s="5" t="n">
        <v>10</v>
      </c>
      <c r="F10" s="5" t="n">
        <v>20</v>
      </c>
      <c r="G10" s="5" t="n">
        <v>25</v>
      </c>
      <c r="H10" s="5"/>
      <c r="I10" s="5" t="n">
        <v>25</v>
      </c>
      <c r="J10" s="5" t="n">
        <v>30</v>
      </c>
      <c r="K10" s="5" t="n">
        <v>10</v>
      </c>
      <c r="L10" s="5" t="n">
        <v>20</v>
      </c>
      <c r="M10" s="5" t="n">
        <v>15</v>
      </c>
      <c r="N10" s="5"/>
      <c r="O10" s="5" t="n">
        <v>25</v>
      </c>
      <c r="P10" s="5" t="n">
        <v>30</v>
      </c>
      <c r="Q10" s="5" t="n">
        <v>10</v>
      </c>
      <c r="R10" s="5" t="n">
        <v>15</v>
      </c>
      <c r="S10" s="5" t="n">
        <v>20</v>
      </c>
      <c r="T10" s="5"/>
      <c r="U10" s="5" t="n">
        <v>15</v>
      </c>
      <c r="V10" s="5" t="n">
        <v>30</v>
      </c>
      <c r="W10" s="5" t="n">
        <v>10</v>
      </c>
      <c r="X10" s="5" t="n">
        <v>20</v>
      </c>
      <c r="Y10" s="5" t="n">
        <v>25</v>
      </c>
      <c r="Z10" s="5"/>
      <c r="AA10" s="5" t="n">
        <v>15</v>
      </c>
      <c r="AB10" s="5" t="n">
        <v>25</v>
      </c>
      <c r="AC10" s="5" t="n">
        <v>10</v>
      </c>
      <c r="AD10" s="5" t="n">
        <v>20</v>
      </c>
      <c r="AE10" s="5" t="n">
        <v>30</v>
      </c>
      <c r="AF10" s="5"/>
      <c r="AG10" s="5" t="n">
        <v>15</v>
      </c>
      <c r="AH10" s="5" t="n">
        <v>25</v>
      </c>
      <c r="AI10" s="5" t="n">
        <v>10</v>
      </c>
      <c r="AJ10" s="5" t="n">
        <v>20</v>
      </c>
      <c r="AK10" s="5" t="n">
        <v>30</v>
      </c>
      <c r="AL10" s="5"/>
      <c r="AM10" s="5" t="n">
        <v>20</v>
      </c>
      <c r="AN10" s="5" t="n">
        <v>25</v>
      </c>
      <c r="AO10" s="5" t="n">
        <v>15</v>
      </c>
      <c r="AP10" s="5" t="n">
        <v>15</v>
      </c>
      <c r="AQ10" s="5" t="n">
        <v>25</v>
      </c>
      <c r="AR10" s="5"/>
      <c r="AS10" s="5" t="n">
        <v>20</v>
      </c>
      <c r="AT10" s="5" t="n">
        <v>25</v>
      </c>
      <c r="AU10" s="5" t="n">
        <v>15</v>
      </c>
      <c r="AV10" s="5" t="n">
        <v>20</v>
      </c>
      <c r="AW10" s="5" t="n">
        <v>20</v>
      </c>
      <c r="AX10" s="5"/>
      <c r="AY10" s="5" t="n">
        <v>25</v>
      </c>
      <c r="AZ10" s="5" t="n">
        <v>20</v>
      </c>
      <c r="BA10" s="5" t="n">
        <v>15</v>
      </c>
      <c r="BB10" s="5" t="n">
        <v>20</v>
      </c>
      <c r="BC10" s="5" t="n">
        <v>20</v>
      </c>
      <c r="BD10" s="5"/>
      <c r="BE10" s="5" t="n">
        <v>20</v>
      </c>
      <c r="BF10" s="5" t="n">
        <v>25</v>
      </c>
      <c r="BG10" s="5" t="n">
        <v>15</v>
      </c>
      <c r="BH10" s="5" t="n">
        <v>20</v>
      </c>
      <c r="BI10" s="5" t="n">
        <v>20</v>
      </c>
      <c r="BK10" s="5" t="n">
        <f aca="false">AVERAGE(C10,I10,O10,U10,AA10,AG10,AM10,AS10,AY10,BE10)</f>
        <v>19.5</v>
      </c>
      <c r="BL10" s="5" t="n">
        <f aca="false">AVERAGE(D10,J10,P10,V10,AB10,AH10,AN10,AT10,AZ10,BF10)</f>
        <v>26.5</v>
      </c>
      <c r="BM10" s="5" t="n">
        <f aca="false">AVERAGE(,E10,K10,Q10,W10,AC10,AI10,AO10,AU10,BA10,BG10)</f>
        <v>10.9090909090909</v>
      </c>
      <c r="BN10" s="5" t="n">
        <f aca="false">AVERAGE(F10,L10,R10,X10,AD10,AJ10,AP10,AV10,BB10,BH10)</f>
        <v>19</v>
      </c>
      <c r="BO10" s="5" t="n">
        <f aca="false">AVERAGE(G10,M10,S10,Y10,AE10,AK10,AQ10,AW10,BC10,BI10)</f>
        <v>23</v>
      </c>
      <c r="BQ10" s="5" t="n">
        <f aca="false">_xlfn.STDEV.P(C10,I10,O10,U10,AA10,AG10,AM10,AS10,AY10,BE10)</f>
        <v>4.15331193145904</v>
      </c>
      <c r="BR10" s="5" t="n">
        <f aca="false">_xlfn.STDEV.P(D10,J10,P10,V10,AB10,AH10,AN10,AT10,AZ10,BF10)</f>
        <v>3.20156211871642</v>
      </c>
      <c r="BS10" s="5" t="n">
        <f aca="false">_xlfn.STDEV.P(,E10,K10,Q10,W10,AC10,AI10,AO10,AU10,BA10,BG10)</f>
        <v>4.16597790450531</v>
      </c>
      <c r="BT10" s="5" t="n">
        <f aca="false">_xlfn.STDEV.P(F10,L10,R10,X10,AD10,AJ10,AP10,AV10,BB10,BH10)</f>
        <v>2</v>
      </c>
      <c r="BU10" s="5" t="n">
        <f aca="false">_xlfn.STDEV.P(G10,M10,S10,Y10,AE10,AK10,AQ10,AW10,BC10,BI10)</f>
        <v>4.58257569495584</v>
      </c>
    </row>
    <row r="11" customFormat="false" ht="12.8" hidden="false" customHeight="false" outlineLevel="0" collapsed="false">
      <c r="A11" s="1" t="n">
        <v>1</v>
      </c>
      <c r="B11" s="4" t="s">
        <v>27</v>
      </c>
      <c r="C11" s="5" t="n">
        <v>15</v>
      </c>
      <c r="D11" s="5" t="n">
        <v>25</v>
      </c>
      <c r="E11" s="5" t="n">
        <v>10</v>
      </c>
      <c r="F11" s="5" t="n">
        <v>15</v>
      </c>
      <c r="G11" s="5" t="n">
        <v>35</v>
      </c>
      <c r="H11" s="5"/>
      <c r="I11" s="5" t="n">
        <v>15</v>
      </c>
      <c r="J11" s="5" t="n">
        <v>20</v>
      </c>
      <c r="K11" s="5" t="n">
        <v>15</v>
      </c>
      <c r="L11" s="5" t="n">
        <v>20</v>
      </c>
      <c r="M11" s="5" t="n">
        <v>30</v>
      </c>
      <c r="N11" s="5"/>
      <c r="O11" s="5" t="n">
        <v>15</v>
      </c>
      <c r="P11" s="5" t="n">
        <v>25</v>
      </c>
      <c r="Q11" s="5" t="n">
        <v>10</v>
      </c>
      <c r="R11" s="5" t="n">
        <v>10</v>
      </c>
      <c r="S11" s="5" t="n">
        <v>40</v>
      </c>
      <c r="T11" s="5"/>
      <c r="U11" s="5" t="n">
        <v>15</v>
      </c>
      <c r="V11" s="5" t="n">
        <v>20</v>
      </c>
      <c r="W11" s="5" t="n">
        <v>15</v>
      </c>
      <c r="X11" s="5" t="n">
        <v>20</v>
      </c>
      <c r="Y11" s="5" t="n">
        <v>30</v>
      </c>
      <c r="Z11" s="5"/>
      <c r="AA11" s="5" t="n">
        <v>15</v>
      </c>
      <c r="AB11" s="5" t="n">
        <v>25</v>
      </c>
      <c r="AC11" s="5" t="n">
        <v>10</v>
      </c>
      <c r="AD11" s="5" t="n">
        <v>15</v>
      </c>
      <c r="AE11" s="5" t="n">
        <v>35</v>
      </c>
      <c r="AF11" s="5"/>
      <c r="AG11" s="5" t="n">
        <v>15</v>
      </c>
      <c r="AH11" s="5" t="n">
        <v>20</v>
      </c>
      <c r="AI11" s="5" t="n">
        <v>15</v>
      </c>
      <c r="AJ11" s="5" t="n">
        <v>20</v>
      </c>
      <c r="AK11" s="5" t="n">
        <v>30</v>
      </c>
      <c r="AL11" s="5"/>
      <c r="AM11" s="5" t="n">
        <v>15</v>
      </c>
      <c r="AN11" s="5" t="n">
        <v>20</v>
      </c>
      <c r="AO11" s="5" t="n">
        <v>10</v>
      </c>
      <c r="AP11" s="5" t="n">
        <v>15</v>
      </c>
      <c r="AQ11" s="5" t="n">
        <v>40</v>
      </c>
      <c r="AR11" s="5"/>
      <c r="AS11" s="5" t="n">
        <v>15</v>
      </c>
      <c r="AT11" s="5" t="n">
        <v>20</v>
      </c>
      <c r="AU11" s="5" t="n">
        <v>15</v>
      </c>
      <c r="AV11" s="5" t="n">
        <v>20</v>
      </c>
      <c r="AW11" s="5" t="n">
        <v>30</v>
      </c>
      <c r="AX11" s="5"/>
      <c r="AY11" s="5" t="n">
        <v>15</v>
      </c>
      <c r="AZ11" s="5" t="n">
        <v>25</v>
      </c>
      <c r="BA11" s="5" t="n">
        <v>10</v>
      </c>
      <c r="BB11" s="5" t="n">
        <v>20</v>
      </c>
      <c r="BC11" s="5" t="n">
        <v>30</v>
      </c>
      <c r="BD11" s="5"/>
      <c r="BE11" s="5" t="n">
        <v>15</v>
      </c>
      <c r="BF11" s="5" t="n">
        <v>20</v>
      </c>
      <c r="BG11" s="5" t="n">
        <v>10</v>
      </c>
      <c r="BH11" s="5" t="n">
        <v>15</v>
      </c>
      <c r="BI11" s="5" t="n">
        <v>40</v>
      </c>
      <c r="BK11" s="5" t="n">
        <f aca="false">AVERAGE(C11,I11,O11,U11,AA11,AG11,AM11,AS11,AY11,BE11)</f>
        <v>15</v>
      </c>
      <c r="BL11" s="5" t="n">
        <f aca="false">AVERAGE(D11,J11,P11,V11,AB11,AH11,AN11,AT11,AZ11,BF11)</f>
        <v>22</v>
      </c>
      <c r="BM11" s="5" t="n">
        <f aca="false">AVERAGE(,E11,K11,Q11,W11,AC11,AI11,AO11,AU11,BA11,BG11)</f>
        <v>10.9090909090909</v>
      </c>
      <c r="BN11" s="5" t="n">
        <f aca="false">AVERAGE(F11,L11,R11,X11,AD11,AJ11,AP11,AV11,BB11,BH11)</f>
        <v>17</v>
      </c>
      <c r="BO11" s="5" t="n">
        <f aca="false">AVERAGE(G11,M11,S11,Y11,AE11,AK11,AQ11,AW11,BC11,BI11)</f>
        <v>34</v>
      </c>
      <c r="BQ11" s="5" t="n">
        <f aca="false">_xlfn.STDEV.P(C11,I11,O11,U11,AA11,AG11,AM11,AS11,AY11,BE11)</f>
        <v>0</v>
      </c>
      <c r="BR11" s="5" t="n">
        <f aca="false">_xlfn.STDEV.P(D11,J11,P11,V11,AB11,AH11,AN11,AT11,AZ11,BF11)</f>
        <v>2.44948974278318</v>
      </c>
      <c r="BS11" s="5" t="n">
        <f aca="false">_xlfn.STDEV.P(,E11,K11,Q11,W11,AC11,AI11,AO11,AU11,BA11,BG11)</f>
        <v>4.16597790450531</v>
      </c>
      <c r="BT11" s="5" t="n">
        <f aca="false">_xlfn.STDEV.P(F11,L11,R11,X11,AD11,AJ11,AP11,AV11,BB11,BH11)</f>
        <v>3.3166247903554</v>
      </c>
      <c r="BU11" s="5" t="n">
        <f aca="false">_xlfn.STDEV.P(G11,M11,S11,Y11,AE11,AK11,AQ11,AW11,BC11,BI11)</f>
        <v>4.35889894354067</v>
      </c>
    </row>
    <row r="12" customFormat="false" ht="12.8" hidden="false" customHeight="false" outlineLevel="0" collapsed="false">
      <c r="A12" s="1" t="n">
        <v>0</v>
      </c>
      <c r="B12" s="4" t="s">
        <v>28</v>
      </c>
      <c r="C12" s="5" t="n">
        <v>20</v>
      </c>
      <c r="D12" s="5" t="n">
        <v>30</v>
      </c>
      <c r="E12" s="5" t="n">
        <v>15</v>
      </c>
      <c r="F12" s="5" t="n">
        <v>25</v>
      </c>
      <c r="G12" s="5" t="n">
        <v>10</v>
      </c>
      <c r="H12" s="5"/>
      <c r="I12" s="5" t="n">
        <v>20</v>
      </c>
      <c r="J12" s="5" t="n">
        <v>25</v>
      </c>
      <c r="K12" s="5" t="n">
        <v>15</v>
      </c>
      <c r="L12" s="5" t="n">
        <v>25</v>
      </c>
      <c r="M12" s="5" t="n">
        <v>15</v>
      </c>
      <c r="N12" s="5"/>
      <c r="O12" s="5" t="n">
        <v>20</v>
      </c>
      <c r="P12" s="5" t="n">
        <v>30</v>
      </c>
      <c r="Q12" s="5" t="n">
        <v>15</v>
      </c>
      <c r="R12" s="5" t="n">
        <v>25</v>
      </c>
      <c r="S12" s="5" t="n">
        <v>10</v>
      </c>
      <c r="T12" s="5"/>
      <c r="U12" s="5" t="n">
        <v>20</v>
      </c>
      <c r="V12" s="5" t="n">
        <v>30</v>
      </c>
      <c r="W12" s="5" t="n">
        <v>15</v>
      </c>
      <c r="X12" s="5" t="n">
        <v>25</v>
      </c>
      <c r="Y12" s="5" t="n">
        <v>10</v>
      </c>
      <c r="Z12" s="5"/>
      <c r="AA12" s="5" t="n">
        <v>20</v>
      </c>
      <c r="AB12" s="5" t="n">
        <v>30</v>
      </c>
      <c r="AC12" s="5" t="n">
        <v>15</v>
      </c>
      <c r="AD12" s="5" t="n">
        <v>25</v>
      </c>
      <c r="AE12" s="5" t="n">
        <v>10</v>
      </c>
      <c r="AF12" s="5"/>
      <c r="AG12" s="5" t="n">
        <v>20</v>
      </c>
      <c r="AH12" s="5" t="n">
        <v>30</v>
      </c>
      <c r="AI12" s="5" t="n">
        <v>15</v>
      </c>
      <c r="AJ12" s="5" t="n">
        <v>25</v>
      </c>
      <c r="AK12" s="5" t="n">
        <v>10</v>
      </c>
      <c r="AL12" s="5"/>
      <c r="AM12" s="5" t="n">
        <v>20</v>
      </c>
      <c r="AN12" s="5" t="n">
        <v>25</v>
      </c>
      <c r="AO12" s="5" t="n">
        <v>15</v>
      </c>
      <c r="AP12" s="5" t="n">
        <v>25</v>
      </c>
      <c r="AQ12" s="5" t="n">
        <v>15</v>
      </c>
      <c r="AR12" s="5"/>
      <c r="AS12" s="5" t="n">
        <v>20</v>
      </c>
      <c r="AT12" s="5" t="n">
        <v>30</v>
      </c>
      <c r="AU12" s="5" t="n">
        <v>15</v>
      </c>
      <c r="AV12" s="5" t="n">
        <v>25</v>
      </c>
      <c r="AW12" s="5" t="n">
        <v>10</v>
      </c>
      <c r="AX12" s="5"/>
      <c r="AY12" s="5" t="n">
        <v>20</v>
      </c>
      <c r="AZ12" s="5" t="n">
        <v>30</v>
      </c>
      <c r="BA12" s="5" t="n">
        <v>15</v>
      </c>
      <c r="BB12" s="5" t="n">
        <v>25</v>
      </c>
      <c r="BC12" s="5" t="n">
        <v>10</v>
      </c>
      <c r="BD12" s="5"/>
      <c r="BE12" s="5" t="n">
        <v>20</v>
      </c>
      <c r="BF12" s="5" t="n">
        <v>30</v>
      </c>
      <c r="BG12" s="5" t="n">
        <v>15</v>
      </c>
      <c r="BH12" s="5" t="n">
        <v>25</v>
      </c>
      <c r="BI12" s="5" t="n">
        <v>10</v>
      </c>
      <c r="BK12" s="5" t="n">
        <f aca="false">AVERAGE(C12,I12,O12,U12,AA12,AG12,AM12,AS12,AY12,BE12)</f>
        <v>20</v>
      </c>
      <c r="BL12" s="5" t="n">
        <f aca="false">AVERAGE(D12,J12,P12,V12,AB12,AH12,AN12,AT12,AZ12,BF12)</f>
        <v>29</v>
      </c>
      <c r="BM12" s="5" t="n">
        <f aca="false">AVERAGE(,E12,K12,Q12,W12,AC12,AI12,AO12,AU12,BA12,BG12)</f>
        <v>13.6363636363636</v>
      </c>
      <c r="BN12" s="5" t="n">
        <f aca="false">AVERAGE(F12,L12,R12,X12,AD12,AJ12,AP12,AV12,BB12,BH12)</f>
        <v>25</v>
      </c>
      <c r="BO12" s="5" t="n">
        <f aca="false">AVERAGE(G12,M12,S12,Y12,AE12,AK12,AQ12,AW12,BC12,BI12)</f>
        <v>11</v>
      </c>
      <c r="BQ12" s="5" t="n">
        <f aca="false">_xlfn.STDEV.P(C12,I12,O12,U12,AA12,AG12,AM12,AS12,AY12,BE12)</f>
        <v>0</v>
      </c>
      <c r="BR12" s="5" t="n">
        <f aca="false">_xlfn.STDEV.P(D12,J12,P12,V12,AB12,AH12,AN12,AT12,AZ12,BF12)</f>
        <v>2</v>
      </c>
      <c r="BS12" s="5" t="n">
        <f aca="false">_xlfn.STDEV.P(,E12,K12,Q12,W12,AC12,AI12,AO12,AU12,BA12,BG12)</f>
        <v>4.31219680932052</v>
      </c>
      <c r="BT12" s="5" t="n">
        <f aca="false">_xlfn.STDEV.P(F12,L12,R12,X12,AD12,AJ12,AP12,AV12,BB12,BH12)</f>
        <v>0</v>
      </c>
      <c r="BU12" s="5" t="n">
        <f aca="false">_xlfn.STDEV.P(G12,M12,S12,Y12,AE12,AK12,AQ12,AW12,BC12,BI12)</f>
        <v>2</v>
      </c>
    </row>
    <row r="13" customFormat="false" ht="12.8" hidden="false" customHeight="false" outlineLevel="0" collapsed="false">
      <c r="A13" s="1" t="n">
        <v>0</v>
      </c>
      <c r="B13" s="4" t="s">
        <v>29</v>
      </c>
      <c r="C13" s="5" t="n">
        <v>20</v>
      </c>
      <c r="D13" s="5" t="n">
        <v>25</v>
      </c>
      <c r="E13" s="5" t="n">
        <v>15</v>
      </c>
      <c r="F13" s="5" t="n">
        <v>25</v>
      </c>
      <c r="G13" s="5" t="n">
        <v>15</v>
      </c>
      <c r="H13" s="5"/>
      <c r="I13" s="5" t="n">
        <v>20</v>
      </c>
      <c r="J13" s="5" t="n">
        <v>30</v>
      </c>
      <c r="K13" s="5" t="n">
        <v>15</v>
      </c>
      <c r="L13" s="5" t="n">
        <v>25</v>
      </c>
      <c r="M13" s="5" t="n">
        <v>10</v>
      </c>
      <c r="N13" s="5"/>
      <c r="O13" s="5" t="n">
        <v>20</v>
      </c>
      <c r="P13" s="5" t="n">
        <v>30</v>
      </c>
      <c r="Q13" s="5" t="n">
        <v>15</v>
      </c>
      <c r="R13" s="5" t="n">
        <v>25</v>
      </c>
      <c r="S13" s="5" t="n">
        <v>10</v>
      </c>
      <c r="T13" s="5"/>
      <c r="U13" s="5" t="n">
        <v>15</v>
      </c>
      <c r="V13" s="5" t="n">
        <v>30</v>
      </c>
      <c r="W13" s="5" t="n">
        <v>15</v>
      </c>
      <c r="X13" s="5" t="n">
        <v>25</v>
      </c>
      <c r="Y13" s="5" t="n">
        <v>15</v>
      </c>
      <c r="Z13" s="5"/>
      <c r="AA13" s="5" t="n">
        <v>20</v>
      </c>
      <c r="AB13" s="5" t="n">
        <v>30</v>
      </c>
      <c r="AC13" s="5" t="n">
        <v>15</v>
      </c>
      <c r="AD13" s="5" t="n">
        <v>25</v>
      </c>
      <c r="AE13" s="5" t="n">
        <v>10</v>
      </c>
      <c r="AF13" s="5"/>
      <c r="AG13" s="5" t="n">
        <v>15</v>
      </c>
      <c r="AH13" s="5" t="n">
        <v>30</v>
      </c>
      <c r="AI13" s="5" t="n">
        <v>15</v>
      </c>
      <c r="AJ13" s="5" t="n">
        <v>25</v>
      </c>
      <c r="AK13" s="5" t="n">
        <v>15</v>
      </c>
      <c r="AL13" s="5"/>
      <c r="AM13" s="5" t="n">
        <v>20</v>
      </c>
      <c r="AN13" s="5" t="n">
        <v>30</v>
      </c>
      <c r="AO13" s="5" t="n">
        <v>15</v>
      </c>
      <c r="AP13" s="5" t="n">
        <v>25</v>
      </c>
      <c r="AQ13" s="5" t="n">
        <v>10</v>
      </c>
      <c r="AR13" s="5"/>
      <c r="AS13" s="5" t="n">
        <v>20</v>
      </c>
      <c r="AT13" s="5" t="n">
        <v>30</v>
      </c>
      <c r="AU13" s="5" t="n">
        <v>15</v>
      </c>
      <c r="AV13" s="5" t="n">
        <v>25</v>
      </c>
      <c r="AW13" s="5" t="n">
        <v>10</v>
      </c>
      <c r="AX13" s="5"/>
      <c r="AY13" s="5" t="n">
        <v>20</v>
      </c>
      <c r="AZ13" s="5" t="n">
        <v>30</v>
      </c>
      <c r="BA13" s="5" t="n">
        <v>15</v>
      </c>
      <c r="BB13" s="5" t="n">
        <v>25</v>
      </c>
      <c r="BC13" s="5" t="n">
        <v>10</v>
      </c>
      <c r="BD13" s="5"/>
      <c r="BE13" s="5" t="n">
        <v>20</v>
      </c>
      <c r="BF13" s="5" t="n">
        <v>30</v>
      </c>
      <c r="BG13" s="5" t="n">
        <v>15</v>
      </c>
      <c r="BH13" s="5" t="n">
        <v>25</v>
      </c>
      <c r="BI13" s="5" t="n">
        <v>10</v>
      </c>
      <c r="BK13" s="5" t="n">
        <f aca="false">AVERAGE(C13,I13,O13,U13,AA13,AG13,AM13,AS13,AY13,BE13)</f>
        <v>19</v>
      </c>
      <c r="BL13" s="5" t="n">
        <f aca="false">AVERAGE(D13,J13,P13,V13,AB13,AH13,AN13,AT13,AZ13,BF13)</f>
        <v>29.5</v>
      </c>
      <c r="BM13" s="5" t="n">
        <f aca="false">AVERAGE(,E13,K13,Q13,W13,AC13,AI13,AO13,AU13,BA13,BG13)</f>
        <v>13.6363636363636</v>
      </c>
      <c r="BN13" s="5" t="n">
        <f aca="false">AVERAGE(F13,L13,R13,X13,AD13,AJ13,AP13,AV13,BB13,BH13)</f>
        <v>25</v>
      </c>
      <c r="BO13" s="5" t="n">
        <f aca="false">AVERAGE(G13,M13,S13,Y13,AE13,AK13,AQ13,AW13,BC13,BI13)</f>
        <v>11.5</v>
      </c>
      <c r="BQ13" s="5" t="n">
        <f aca="false">_xlfn.STDEV.P(C13,I13,O13,U13,AA13,AG13,AM13,AS13,AY13,BE13)</f>
        <v>2</v>
      </c>
      <c r="BR13" s="5" t="n">
        <f aca="false">_xlfn.STDEV.P(D13,J13,P13,V13,AB13,AH13,AN13,AT13,AZ13,BF13)</f>
        <v>1.5</v>
      </c>
      <c r="BS13" s="5" t="n">
        <f aca="false">_xlfn.STDEV.P(,E13,K13,Q13,W13,AC13,AI13,AO13,AU13,BA13,BG13)</f>
        <v>4.31219680932052</v>
      </c>
      <c r="BT13" s="5" t="n">
        <f aca="false">_xlfn.STDEV.P(F13,L13,R13,X13,AD13,AJ13,AP13,AV13,BB13,BH13)</f>
        <v>0</v>
      </c>
      <c r="BU13" s="5" t="n">
        <f aca="false">_xlfn.STDEV.P(G13,M13,S13,Y13,AE13,AK13,AQ13,AW13,BC13,BI13)</f>
        <v>2.29128784747792</v>
      </c>
    </row>
    <row r="14" customFormat="false" ht="12.8" hidden="false" customHeight="false" outlineLevel="0" collapsed="false">
      <c r="A14" s="1" t="n">
        <v>0</v>
      </c>
      <c r="B14" s="4" t="s">
        <v>30</v>
      </c>
      <c r="C14" s="5" t="n">
        <v>20</v>
      </c>
      <c r="D14" s="5" t="n">
        <v>5</v>
      </c>
      <c r="E14" s="5" t="n">
        <v>20</v>
      </c>
      <c r="F14" s="5" t="n">
        <v>30</v>
      </c>
      <c r="G14" s="5" t="n">
        <v>25</v>
      </c>
      <c r="H14" s="5"/>
      <c r="I14" s="5" t="n">
        <v>25</v>
      </c>
      <c r="J14" s="5" t="n">
        <v>20</v>
      </c>
      <c r="K14" s="5" t="n">
        <v>15</v>
      </c>
      <c r="L14" s="5" t="n">
        <v>25</v>
      </c>
      <c r="M14" s="5" t="n">
        <v>15</v>
      </c>
      <c r="N14" s="5"/>
      <c r="O14" s="5" t="n">
        <v>20</v>
      </c>
      <c r="P14" s="5" t="n">
        <v>15</v>
      </c>
      <c r="Q14" s="5" t="n">
        <v>10</v>
      </c>
      <c r="R14" s="5" t="n">
        <v>30</v>
      </c>
      <c r="S14" s="5" t="n">
        <v>25</v>
      </c>
      <c r="T14" s="5"/>
      <c r="U14" s="5" t="n">
        <v>15</v>
      </c>
      <c r="V14" s="5" t="n">
        <v>20</v>
      </c>
      <c r="W14" s="5" t="n">
        <v>20</v>
      </c>
      <c r="X14" s="5" t="n">
        <v>25</v>
      </c>
      <c r="Y14" s="5" t="n">
        <v>20</v>
      </c>
      <c r="Z14" s="5"/>
      <c r="AA14" s="5" t="n">
        <v>25</v>
      </c>
      <c r="AB14" s="5" t="n">
        <v>20</v>
      </c>
      <c r="AC14" s="5" t="n">
        <v>15</v>
      </c>
      <c r="AD14" s="5" t="n">
        <v>25</v>
      </c>
      <c r="AE14" s="5" t="n">
        <v>15</v>
      </c>
      <c r="AF14" s="5"/>
      <c r="AG14" s="5" t="n">
        <v>20</v>
      </c>
      <c r="AH14" s="5" t="n">
        <v>10</v>
      </c>
      <c r="AI14" s="5" t="n">
        <v>15</v>
      </c>
      <c r="AJ14" s="5" t="n">
        <v>30</v>
      </c>
      <c r="AK14" s="5" t="n">
        <v>25</v>
      </c>
      <c r="AL14" s="5"/>
      <c r="AM14" s="5" t="n">
        <v>25</v>
      </c>
      <c r="AN14" s="5" t="n">
        <v>20</v>
      </c>
      <c r="AO14" s="5" t="n">
        <v>15</v>
      </c>
      <c r="AP14" s="5" t="n">
        <v>25</v>
      </c>
      <c r="AQ14" s="5" t="n">
        <v>15</v>
      </c>
      <c r="AR14" s="5"/>
      <c r="AS14" s="5" t="n">
        <v>25</v>
      </c>
      <c r="AT14" s="5" t="n">
        <v>20</v>
      </c>
      <c r="AU14" s="5" t="n">
        <v>15</v>
      </c>
      <c r="AV14" s="5" t="n">
        <v>25</v>
      </c>
      <c r="AW14" s="5" t="n">
        <v>15</v>
      </c>
      <c r="AX14" s="5"/>
      <c r="AY14" s="5" t="n">
        <v>20</v>
      </c>
      <c r="AZ14" s="5" t="n">
        <v>25</v>
      </c>
      <c r="BA14" s="5" t="n">
        <v>15</v>
      </c>
      <c r="BB14" s="5" t="n">
        <v>25</v>
      </c>
      <c r="BC14" s="5" t="n">
        <v>15</v>
      </c>
      <c r="BD14" s="5"/>
      <c r="BE14" s="5" t="n">
        <v>25</v>
      </c>
      <c r="BF14" s="5" t="n">
        <v>20</v>
      </c>
      <c r="BG14" s="5" t="n">
        <v>15</v>
      </c>
      <c r="BH14" s="5" t="n">
        <v>25</v>
      </c>
      <c r="BI14" s="5" t="n">
        <v>15</v>
      </c>
      <c r="BK14" s="5" t="n">
        <f aca="false">AVERAGE(C14,I14,O14,U14,AA14,AG14,AM14,AS14,AY14,BE14)</f>
        <v>22</v>
      </c>
      <c r="BL14" s="5" t="n">
        <f aca="false">AVERAGE(D14,J14,P14,V14,AB14,AH14,AN14,AT14,AZ14,BF14)</f>
        <v>17.5</v>
      </c>
      <c r="BM14" s="5" t="n">
        <f aca="false">AVERAGE(,E14,K14,Q14,W14,AC14,AI14,AO14,AU14,BA14,BG14)</f>
        <v>14.0909090909091</v>
      </c>
      <c r="BN14" s="5" t="n">
        <f aca="false">AVERAGE(F14,L14,R14,X14,AD14,AJ14,AP14,AV14,BB14,BH14)</f>
        <v>26.5</v>
      </c>
      <c r="BO14" s="5" t="n">
        <f aca="false">AVERAGE(G14,M14,S14,Y14,AE14,AK14,AQ14,AW14,BC14,BI14)</f>
        <v>18.5</v>
      </c>
      <c r="BQ14" s="5" t="n">
        <f aca="false">_xlfn.STDEV.P(C14,I14,O14,U14,AA14,AG14,AM14,AS14,AY14,BE14)</f>
        <v>3.3166247903554</v>
      </c>
      <c r="BR14" s="5" t="n">
        <f aca="false">_xlfn.STDEV.P(D14,J14,P14,V14,AB14,AH14,AN14,AT14,AZ14,BF14)</f>
        <v>5.59016994374947</v>
      </c>
      <c r="BS14" s="5" t="n">
        <f aca="false">_xlfn.STDEV.P(,E14,K14,Q14,W14,AC14,AI14,AO14,AU14,BA14,BG14)</f>
        <v>5.1425947722658</v>
      </c>
      <c r="BT14" s="5" t="n">
        <f aca="false">_xlfn.STDEV.P(F14,L14,R14,X14,AD14,AJ14,AP14,AV14,BB14,BH14)</f>
        <v>2.29128784747792</v>
      </c>
      <c r="BU14" s="5" t="n">
        <f aca="false">_xlfn.STDEV.P(G14,M14,S14,Y14,AE14,AK14,AQ14,AW14,BC14,BI14)</f>
        <v>4.5</v>
      </c>
    </row>
    <row r="15" customFormat="false" ht="12.8" hidden="false" customHeight="false" outlineLevel="0" collapsed="false">
      <c r="A15" s="1" t="n">
        <v>0</v>
      </c>
      <c r="B15" s="4" t="s">
        <v>31</v>
      </c>
      <c r="C15" s="5" t="n">
        <v>15</v>
      </c>
      <c r="D15" s="5" t="n">
        <v>30</v>
      </c>
      <c r="E15" s="5" t="n">
        <v>10</v>
      </c>
      <c r="F15" s="5" t="n">
        <v>25</v>
      </c>
      <c r="G15" s="5" t="n">
        <v>20</v>
      </c>
      <c r="H15" s="5"/>
      <c r="I15" s="5" t="n">
        <v>15</v>
      </c>
      <c r="J15" s="5" t="n">
        <v>30</v>
      </c>
      <c r="K15" s="5" t="n">
        <v>10</v>
      </c>
      <c r="L15" s="5" t="n">
        <v>20</v>
      </c>
      <c r="M15" s="5" t="n">
        <v>25</v>
      </c>
      <c r="N15" s="5"/>
      <c r="O15" s="5" t="n">
        <v>15</v>
      </c>
      <c r="P15" s="5" t="n">
        <v>30</v>
      </c>
      <c r="Q15" s="5" t="n">
        <v>10</v>
      </c>
      <c r="R15" s="5" t="n">
        <v>20</v>
      </c>
      <c r="S15" s="5" t="n">
        <v>25</v>
      </c>
      <c r="T15" s="5"/>
      <c r="U15" s="5" t="n">
        <v>20</v>
      </c>
      <c r="V15" s="5" t="n">
        <v>30</v>
      </c>
      <c r="W15" s="5" t="n">
        <v>5</v>
      </c>
      <c r="X15" s="5" t="n">
        <v>20</v>
      </c>
      <c r="Y15" s="5" t="n">
        <v>25</v>
      </c>
      <c r="Z15" s="5"/>
      <c r="AA15" s="5" t="n">
        <v>15</v>
      </c>
      <c r="AB15" s="5" t="n">
        <v>30</v>
      </c>
      <c r="AC15" s="5" t="n">
        <v>10</v>
      </c>
      <c r="AD15" s="5" t="n">
        <v>20</v>
      </c>
      <c r="AE15" s="5" t="n">
        <v>25</v>
      </c>
      <c r="AF15" s="5"/>
      <c r="AG15" s="5" t="n">
        <v>20</v>
      </c>
      <c r="AH15" s="5" t="n">
        <v>30</v>
      </c>
      <c r="AI15" s="5" t="n">
        <v>10</v>
      </c>
      <c r="AJ15" s="5" t="n">
        <v>15</v>
      </c>
      <c r="AK15" s="5" t="n">
        <v>25</v>
      </c>
      <c r="AL15" s="5"/>
      <c r="AM15" s="5" t="n">
        <v>20</v>
      </c>
      <c r="AN15" s="5" t="n">
        <v>30</v>
      </c>
      <c r="AO15" s="5" t="n">
        <v>10</v>
      </c>
      <c r="AP15" s="5" t="n">
        <v>15</v>
      </c>
      <c r="AQ15" s="5" t="n">
        <v>25</v>
      </c>
      <c r="AR15" s="5"/>
      <c r="AS15" s="5" t="n">
        <v>20</v>
      </c>
      <c r="AT15" s="5" t="n">
        <v>30</v>
      </c>
      <c r="AU15" s="5" t="n">
        <v>10</v>
      </c>
      <c r="AV15" s="5" t="n">
        <v>15</v>
      </c>
      <c r="AW15" s="5" t="n">
        <v>25</v>
      </c>
      <c r="AX15" s="5"/>
      <c r="AY15" s="5" t="n">
        <v>20</v>
      </c>
      <c r="AZ15" s="5" t="n">
        <v>30</v>
      </c>
      <c r="BA15" s="5" t="n">
        <v>10</v>
      </c>
      <c r="BB15" s="5" t="n">
        <v>15</v>
      </c>
      <c r="BC15" s="5" t="n">
        <v>25</v>
      </c>
      <c r="BD15" s="5"/>
      <c r="BE15" s="5" t="n">
        <v>15</v>
      </c>
      <c r="BF15" s="5" t="n">
        <v>30</v>
      </c>
      <c r="BG15" s="5" t="n">
        <v>10</v>
      </c>
      <c r="BH15" s="5" t="n">
        <v>25</v>
      </c>
      <c r="BI15" s="5" t="n">
        <v>20</v>
      </c>
      <c r="BK15" s="5" t="n">
        <f aca="false">AVERAGE(C15,I15,O15,U15,AA15,AG15,AM15,AS15,AY15,BE15)</f>
        <v>17.5</v>
      </c>
      <c r="BL15" s="5" t="n">
        <f aca="false">AVERAGE(D15,J15,P15,V15,AB15,AH15,AN15,AT15,AZ15,BF15)</f>
        <v>30</v>
      </c>
      <c r="BM15" s="5" t="n">
        <f aca="false">AVERAGE(,E15,K15,Q15,W15,AC15,AI15,AO15,AU15,BA15,BG15)</f>
        <v>8.63636363636364</v>
      </c>
      <c r="BN15" s="5" t="n">
        <f aca="false">AVERAGE(F15,L15,R15,X15,AD15,AJ15,AP15,AV15,BB15,BH15)</f>
        <v>19</v>
      </c>
      <c r="BO15" s="5" t="n">
        <f aca="false">AVERAGE(G15,M15,S15,Y15,AE15,AK15,AQ15,AW15,BC15,BI15)</f>
        <v>24</v>
      </c>
      <c r="BQ15" s="5" t="n">
        <f aca="false">_xlfn.STDEV.P(C15,I15,O15,U15,AA15,AG15,AM15,AS15,AY15,BE15)</f>
        <v>2.5</v>
      </c>
      <c r="BR15" s="5" t="n">
        <f aca="false">_xlfn.STDEV.P(D15,J15,P15,V15,AB15,AH15,AN15,AT15,AZ15,BF15)</f>
        <v>0</v>
      </c>
      <c r="BS15" s="5" t="n">
        <f aca="false">_xlfn.STDEV.P(,E15,K15,Q15,W15,AC15,AI15,AO15,AU15,BA15,BG15)</f>
        <v>3.08287726505694</v>
      </c>
      <c r="BT15" s="5" t="n">
        <f aca="false">_xlfn.STDEV.P(F15,L15,R15,X15,AD15,AJ15,AP15,AV15,BB15,BH15)</f>
        <v>3.74165738677394</v>
      </c>
      <c r="BU15" s="5" t="n">
        <f aca="false">_xlfn.STDEV.P(G15,M15,S15,Y15,AE15,AK15,AQ15,AW15,BC15,BI15)</f>
        <v>2</v>
      </c>
    </row>
    <row r="16" customFormat="false" ht="12.8" hidden="false" customHeight="false" outlineLevel="0" collapsed="false">
      <c r="A16" s="1" t="n">
        <v>0</v>
      </c>
      <c r="B16" s="4" t="s">
        <v>32</v>
      </c>
      <c r="C16" s="5" t="n">
        <v>15</v>
      </c>
      <c r="D16" s="5" t="n">
        <v>20</v>
      </c>
      <c r="E16" s="5" t="n">
        <v>15</v>
      </c>
      <c r="F16" s="5" t="n">
        <v>25</v>
      </c>
      <c r="G16" s="5" t="n">
        <v>25</v>
      </c>
      <c r="H16" s="5"/>
      <c r="I16" s="5" t="n">
        <v>15</v>
      </c>
      <c r="J16" s="5" t="n">
        <v>20</v>
      </c>
      <c r="K16" s="5" t="n">
        <v>15</v>
      </c>
      <c r="L16" s="5" t="n">
        <v>25</v>
      </c>
      <c r="M16" s="5" t="n">
        <v>25</v>
      </c>
      <c r="N16" s="5"/>
      <c r="O16" s="5" t="n">
        <v>15</v>
      </c>
      <c r="P16" s="5" t="n">
        <v>20</v>
      </c>
      <c r="Q16" s="5" t="n">
        <v>15</v>
      </c>
      <c r="R16" s="5" t="n">
        <v>25</v>
      </c>
      <c r="S16" s="5" t="n">
        <v>25</v>
      </c>
      <c r="T16" s="5"/>
      <c r="U16" s="5" t="n">
        <v>20</v>
      </c>
      <c r="V16" s="5" t="n">
        <v>20</v>
      </c>
      <c r="W16" s="5" t="n">
        <v>15</v>
      </c>
      <c r="X16" s="5" t="n">
        <v>25</v>
      </c>
      <c r="Y16" s="5" t="n">
        <v>20</v>
      </c>
      <c r="Z16" s="5"/>
      <c r="AA16" s="5" t="n">
        <v>15</v>
      </c>
      <c r="AB16" s="5" t="n">
        <v>20</v>
      </c>
      <c r="AC16" s="5" t="n">
        <v>15</v>
      </c>
      <c r="AD16" s="5" t="n">
        <v>20</v>
      </c>
      <c r="AE16" s="5" t="n">
        <v>30</v>
      </c>
      <c r="AF16" s="5"/>
      <c r="AG16" s="5" t="n">
        <v>15</v>
      </c>
      <c r="AH16" s="5" t="n">
        <v>15</v>
      </c>
      <c r="AI16" s="5" t="n">
        <v>20</v>
      </c>
      <c r="AJ16" s="5" t="n">
        <v>25</v>
      </c>
      <c r="AK16" s="5" t="n">
        <v>25</v>
      </c>
      <c r="AL16" s="5"/>
      <c r="AM16" s="5" t="n">
        <v>15</v>
      </c>
      <c r="AN16" s="5" t="n">
        <v>20</v>
      </c>
      <c r="AO16" s="5" t="n">
        <v>10</v>
      </c>
      <c r="AP16" s="5" t="n">
        <v>25</v>
      </c>
      <c r="AQ16" s="5" t="n">
        <v>30</v>
      </c>
      <c r="AR16" s="5"/>
      <c r="AS16" s="5" t="n">
        <v>15</v>
      </c>
      <c r="AT16" s="5" t="n">
        <v>15</v>
      </c>
      <c r="AU16" s="5" t="n">
        <v>10</v>
      </c>
      <c r="AV16" s="5" t="n">
        <v>20</v>
      </c>
      <c r="AW16" s="5" t="n">
        <v>40</v>
      </c>
      <c r="AX16" s="5"/>
      <c r="AY16" s="5" t="n">
        <v>15</v>
      </c>
      <c r="AZ16" s="5" t="n">
        <v>20</v>
      </c>
      <c r="BA16" s="5" t="n">
        <v>15</v>
      </c>
      <c r="BB16" s="5" t="n">
        <v>25</v>
      </c>
      <c r="BC16" s="5" t="n">
        <v>25</v>
      </c>
      <c r="BD16" s="5"/>
      <c r="BE16" s="5" t="n">
        <v>15</v>
      </c>
      <c r="BF16" s="5" t="n">
        <v>20</v>
      </c>
      <c r="BG16" s="5" t="n">
        <v>15</v>
      </c>
      <c r="BH16" s="5" t="n">
        <v>25</v>
      </c>
      <c r="BI16" s="5" t="n">
        <v>25</v>
      </c>
      <c r="BK16" s="5" t="n">
        <f aca="false">AVERAGE(C16,I16,O16,U16,AA16,AG16,AM16,AS16,AY16,BE16)</f>
        <v>15.5</v>
      </c>
      <c r="BL16" s="5" t="n">
        <f aca="false">AVERAGE(D16,J16,P16,V16,AB16,AH16,AN16,AT16,AZ16,BF16)</f>
        <v>19</v>
      </c>
      <c r="BM16" s="5" t="n">
        <f aca="false">AVERAGE(,E16,K16,Q16,W16,AC16,AI16,AO16,AU16,BA16,BG16)</f>
        <v>13.1818181818182</v>
      </c>
      <c r="BN16" s="5" t="n">
        <f aca="false">AVERAGE(F16,L16,R16,X16,AD16,AJ16,AP16,AV16,BB16,BH16)</f>
        <v>24</v>
      </c>
      <c r="BO16" s="5" t="n">
        <f aca="false">AVERAGE(G16,M16,S16,Y16,AE16,AK16,AQ16,AW16,BC16,BI16)</f>
        <v>27</v>
      </c>
      <c r="BQ16" s="5" t="n">
        <f aca="false">_xlfn.STDEV.P(C16,I16,O16,U16,AA16,AG16,AM16,AS16,AY16,BE16)</f>
        <v>1.5</v>
      </c>
      <c r="BR16" s="5" t="n">
        <f aca="false">_xlfn.STDEV.P(D16,J16,P16,V16,AB16,AH16,AN16,AT16,AZ16,BF16)</f>
        <v>2</v>
      </c>
      <c r="BS16" s="5" t="n">
        <f aca="false">_xlfn.STDEV.P(,E16,K16,Q16,W16,AC16,AI16,AO16,AU16,BA16,BG16)</f>
        <v>4.89560437012228</v>
      </c>
      <c r="BT16" s="5" t="n">
        <f aca="false">_xlfn.STDEV.P(F16,L16,R16,X16,AD16,AJ16,AP16,AV16,BB16,BH16)</f>
        <v>2</v>
      </c>
      <c r="BU16" s="5" t="n">
        <f aca="false">_xlfn.STDEV.P(G16,M16,S16,Y16,AE16,AK16,AQ16,AW16,BC16,BI16)</f>
        <v>5.09901951359278</v>
      </c>
    </row>
    <row r="17" customFormat="false" ht="12.8" hidden="false" customHeight="false" outlineLevel="0" collapsed="false">
      <c r="A17" s="1" t="n">
        <v>0</v>
      </c>
      <c r="B17" s="4" t="s">
        <v>33</v>
      </c>
      <c r="C17" s="5" t="n">
        <v>25</v>
      </c>
      <c r="D17" s="5" t="n">
        <v>20</v>
      </c>
      <c r="E17" s="5" t="n">
        <v>15</v>
      </c>
      <c r="F17" s="5" t="n">
        <v>25</v>
      </c>
      <c r="G17" s="5" t="n">
        <v>15</v>
      </c>
      <c r="H17" s="5"/>
      <c r="I17" s="5" t="n">
        <v>25</v>
      </c>
      <c r="J17" s="5" t="n">
        <v>20</v>
      </c>
      <c r="K17" s="5" t="n">
        <v>15</v>
      </c>
      <c r="L17" s="5" t="n">
        <v>30</v>
      </c>
      <c r="M17" s="5" t="n">
        <v>10</v>
      </c>
      <c r="N17" s="5"/>
      <c r="O17" s="5" t="n">
        <v>25</v>
      </c>
      <c r="P17" s="5" t="n">
        <v>20</v>
      </c>
      <c r="Q17" s="5" t="n">
        <v>15</v>
      </c>
      <c r="R17" s="5" t="n">
        <v>30</v>
      </c>
      <c r="S17" s="5" t="n">
        <v>10</v>
      </c>
      <c r="T17" s="5"/>
      <c r="U17" s="5" t="n">
        <v>25</v>
      </c>
      <c r="V17" s="5" t="n">
        <v>20</v>
      </c>
      <c r="W17" s="5" t="n">
        <v>15</v>
      </c>
      <c r="X17" s="5" t="n">
        <v>25</v>
      </c>
      <c r="Y17" s="5" t="n">
        <v>15</v>
      </c>
      <c r="Z17" s="5"/>
      <c r="AA17" s="5" t="n">
        <v>25</v>
      </c>
      <c r="AB17" s="5" t="n">
        <v>20</v>
      </c>
      <c r="AC17" s="5" t="n">
        <v>15</v>
      </c>
      <c r="AD17" s="5" t="n">
        <v>30</v>
      </c>
      <c r="AE17" s="5" t="n">
        <v>10</v>
      </c>
      <c r="AF17" s="5"/>
      <c r="AG17" s="5" t="n">
        <v>25</v>
      </c>
      <c r="AH17" s="5" t="n">
        <v>20</v>
      </c>
      <c r="AI17" s="5" t="n">
        <v>15</v>
      </c>
      <c r="AJ17" s="5" t="n">
        <v>30</v>
      </c>
      <c r="AK17" s="5" t="n">
        <v>10</v>
      </c>
      <c r="AL17" s="5"/>
      <c r="AM17" s="5" t="n">
        <v>25</v>
      </c>
      <c r="AN17" s="5" t="n">
        <v>15</v>
      </c>
      <c r="AO17" s="5" t="n">
        <v>20</v>
      </c>
      <c r="AP17" s="5" t="n">
        <v>30</v>
      </c>
      <c r="AQ17" s="5" t="n">
        <v>10</v>
      </c>
      <c r="AR17" s="5"/>
      <c r="AS17" s="5" t="n">
        <v>25</v>
      </c>
      <c r="AT17" s="5" t="n">
        <v>20</v>
      </c>
      <c r="AU17" s="5" t="n">
        <v>15</v>
      </c>
      <c r="AV17" s="5" t="n">
        <v>30</v>
      </c>
      <c r="AW17" s="5" t="n">
        <v>10</v>
      </c>
      <c r="AX17" s="5"/>
      <c r="AY17" s="5" t="n">
        <v>25</v>
      </c>
      <c r="AZ17" s="5" t="n">
        <v>20</v>
      </c>
      <c r="BA17" s="5" t="n">
        <v>20</v>
      </c>
      <c r="BB17" s="5" t="n">
        <v>25</v>
      </c>
      <c r="BC17" s="5" t="n">
        <v>10</v>
      </c>
      <c r="BD17" s="5"/>
      <c r="BE17" s="5" t="n">
        <v>25</v>
      </c>
      <c r="BF17" s="5" t="n">
        <v>20</v>
      </c>
      <c r="BG17" s="5" t="n">
        <v>15</v>
      </c>
      <c r="BH17" s="5" t="n">
        <v>30</v>
      </c>
      <c r="BI17" s="5" t="n">
        <v>10</v>
      </c>
      <c r="BK17" s="5" t="n">
        <f aca="false">AVERAGE(C17,I17,O17,U17,AA17,AG17,AM17,AS17,AY17,BE17)</f>
        <v>25</v>
      </c>
      <c r="BL17" s="5" t="n">
        <f aca="false">AVERAGE(D17,J17,P17,V17,AB17,AH17,AN17,AT17,AZ17,BF17)</f>
        <v>19.5</v>
      </c>
      <c r="BM17" s="5" t="n">
        <f aca="false">AVERAGE(,E17,K17,Q17,W17,AC17,AI17,AO17,AU17,BA17,BG17)</f>
        <v>14.5454545454545</v>
      </c>
      <c r="BN17" s="5" t="n">
        <f aca="false">AVERAGE(F17,L17,R17,X17,AD17,AJ17,AP17,AV17,BB17,BH17)</f>
        <v>28.5</v>
      </c>
      <c r="BO17" s="5" t="n">
        <f aca="false">AVERAGE(G17,M17,S17,Y17,AE17,AK17,AQ17,AW17,BC17,BI17)</f>
        <v>11</v>
      </c>
      <c r="BQ17" s="5" t="n">
        <f aca="false">_xlfn.STDEV.P(C17,I17,O17,U17,AA17,AG17,AM17,AS17,AY17,BE17)</f>
        <v>0</v>
      </c>
      <c r="BR17" s="5" t="n">
        <f aca="false">_xlfn.STDEV.P(D17,J17,P17,V17,AB17,AH17,AN17,AT17,AZ17,BF17)</f>
        <v>1.5</v>
      </c>
      <c r="BS17" s="5" t="n">
        <f aca="false">_xlfn.STDEV.P(,E17,K17,Q17,W17,AC17,AI17,AO17,AU17,BA17,BG17)</f>
        <v>4.97929597731969</v>
      </c>
      <c r="BT17" s="5" t="n">
        <f aca="false">_xlfn.STDEV.P(F17,L17,R17,X17,AD17,AJ17,AP17,AV17,BB17,BH17)</f>
        <v>2.29128784747792</v>
      </c>
      <c r="BU17" s="5" t="n">
        <f aca="false">_xlfn.STDEV.P(G17,M17,S17,Y17,AE17,AK17,AQ17,AW17,BC17,BI17)</f>
        <v>2</v>
      </c>
    </row>
    <row r="18" customFormat="false" ht="12.8" hidden="false" customHeight="false" outlineLevel="0" collapsed="false">
      <c r="A18" s="1" t="n">
        <v>0</v>
      </c>
      <c r="B18" s="4" t="s">
        <v>34</v>
      </c>
      <c r="C18" s="5" t="n">
        <v>20</v>
      </c>
      <c r="D18" s="5" t="n">
        <v>15</v>
      </c>
      <c r="E18" s="5" t="n">
        <v>20</v>
      </c>
      <c r="F18" s="5" t="n">
        <v>25</v>
      </c>
      <c r="G18" s="5" t="n">
        <v>20</v>
      </c>
      <c r="H18" s="5"/>
      <c r="I18" s="5" t="n">
        <v>20</v>
      </c>
      <c r="J18" s="5" t="n">
        <v>15</v>
      </c>
      <c r="K18" s="5" t="n">
        <v>20</v>
      </c>
      <c r="L18" s="5" t="n">
        <v>25</v>
      </c>
      <c r="M18" s="5" t="n">
        <v>20</v>
      </c>
      <c r="N18" s="5"/>
      <c r="O18" s="5" t="n">
        <v>20</v>
      </c>
      <c r="P18" s="5" t="n">
        <v>15</v>
      </c>
      <c r="Q18" s="5" t="n">
        <v>20</v>
      </c>
      <c r="R18" s="5" t="n">
        <v>25</v>
      </c>
      <c r="S18" s="5" t="n">
        <v>20</v>
      </c>
      <c r="T18" s="5"/>
      <c r="U18" s="5" t="n">
        <v>20</v>
      </c>
      <c r="V18" s="5" t="n">
        <v>15</v>
      </c>
      <c r="W18" s="5" t="n">
        <v>20</v>
      </c>
      <c r="X18" s="5" t="n">
        <v>25</v>
      </c>
      <c r="Y18" s="5" t="n">
        <v>20</v>
      </c>
      <c r="Z18" s="5"/>
      <c r="AA18" s="5" t="n">
        <v>20</v>
      </c>
      <c r="AB18" s="5" t="n">
        <v>15</v>
      </c>
      <c r="AC18" s="5" t="n">
        <v>20</v>
      </c>
      <c r="AD18" s="5" t="n">
        <v>25</v>
      </c>
      <c r="AE18" s="5" t="n">
        <v>20</v>
      </c>
      <c r="AF18" s="5"/>
      <c r="AG18" s="5" t="n">
        <v>20</v>
      </c>
      <c r="AH18" s="5" t="n">
        <v>15</v>
      </c>
      <c r="AI18" s="5" t="n">
        <v>20</v>
      </c>
      <c r="AJ18" s="5" t="n">
        <v>25</v>
      </c>
      <c r="AK18" s="5" t="n">
        <v>20</v>
      </c>
      <c r="AL18" s="5"/>
      <c r="AM18" s="5" t="n">
        <v>20</v>
      </c>
      <c r="AN18" s="5" t="n">
        <v>15</v>
      </c>
      <c r="AO18" s="5" t="n">
        <v>20</v>
      </c>
      <c r="AP18" s="5" t="n">
        <v>25</v>
      </c>
      <c r="AQ18" s="5" t="n">
        <v>20</v>
      </c>
      <c r="AR18" s="5"/>
      <c r="AS18" s="5" t="n">
        <v>20</v>
      </c>
      <c r="AT18" s="5" t="n">
        <v>15</v>
      </c>
      <c r="AU18" s="5" t="n">
        <v>20</v>
      </c>
      <c r="AV18" s="5" t="n">
        <v>25</v>
      </c>
      <c r="AW18" s="5" t="n">
        <v>20</v>
      </c>
      <c r="AX18" s="5"/>
      <c r="AY18" s="5" t="n">
        <v>20</v>
      </c>
      <c r="AZ18" s="5" t="n">
        <v>15</v>
      </c>
      <c r="BA18" s="5" t="n">
        <v>20</v>
      </c>
      <c r="BB18" s="5" t="n">
        <v>25</v>
      </c>
      <c r="BC18" s="5" t="n">
        <v>20</v>
      </c>
      <c r="BD18" s="5"/>
      <c r="BE18" s="5" t="n">
        <v>20</v>
      </c>
      <c r="BF18" s="5" t="n">
        <v>15</v>
      </c>
      <c r="BG18" s="5" t="n">
        <v>20</v>
      </c>
      <c r="BH18" s="5" t="n">
        <v>25</v>
      </c>
      <c r="BI18" s="5" t="n">
        <v>20</v>
      </c>
      <c r="BK18" s="5" t="n">
        <f aca="false">AVERAGE(C18,I18,O18,U18,AA18,AG18,AM18,AS18,AY18,BE18)</f>
        <v>20</v>
      </c>
      <c r="BL18" s="5" t="n">
        <f aca="false">AVERAGE(D18,J18,P18,V18,AB18,AH18,AN18,AT18,AZ18,BF18)</f>
        <v>15</v>
      </c>
      <c r="BM18" s="5" t="n">
        <f aca="false">AVERAGE(,E18,K18,Q18,W18,AC18,AI18,AO18,AU18,BA18,BG18)</f>
        <v>18.1818181818182</v>
      </c>
      <c r="BN18" s="5" t="n">
        <f aca="false">AVERAGE(F18,L18,R18,X18,AD18,AJ18,AP18,AV18,BB18,BH18)</f>
        <v>25</v>
      </c>
      <c r="BO18" s="5" t="n">
        <f aca="false">AVERAGE(G18,M18,S18,Y18,AE18,AK18,AQ18,AW18,BC18,BI18)</f>
        <v>20</v>
      </c>
      <c r="BQ18" s="5" t="n">
        <f aca="false">_xlfn.STDEV.P(C18,I18,O18,U18,AA18,AG18,AM18,AS18,AY18,BE18)</f>
        <v>0</v>
      </c>
      <c r="BR18" s="5" t="n">
        <f aca="false">_xlfn.STDEV.P(D18,J18,P18,V18,AB18,AH18,AN18,AT18,AZ18,BF18)</f>
        <v>0</v>
      </c>
      <c r="BS18" s="5" t="n">
        <f aca="false">_xlfn.STDEV.P(,E18,K18,Q18,W18,AC18,AI18,AO18,AU18,BA18,BG18)</f>
        <v>5.74959574576069</v>
      </c>
      <c r="BT18" s="5" t="n">
        <f aca="false">_xlfn.STDEV.P(F18,L18,R18,X18,AD18,AJ18,AP18,AV18,BB18,BH18)</f>
        <v>0</v>
      </c>
      <c r="BU18" s="5" t="n">
        <f aca="false">_xlfn.STDEV.P(G18,M18,S18,Y18,AE18,AK18,AQ18,AW18,BC18,BI18)</f>
        <v>0</v>
      </c>
    </row>
    <row r="19" customFormat="false" ht="12.8" hidden="false" customHeight="false" outlineLevel="0" collapsed="false">
      <c r="A19" s="1" t="n">
        <v>0</v>
      </c>
      <c r="B19" s="4" t="s">
        <v>35</v>
      </c>
      <c r="C19" s="5" t="n">
        <v>25</v>
      </c>
      <c r="D19" s="5" t="n">
        <v>25</v>
      </c>
      <c r="E19" s="5" t="n">
        <v>15</v>
      </c>
      <c r="F19" s="5" t="n">
        <v>20</v>
      </c>
      <c r="G19" s="5" t="n">
        <v>15</v>
      </c>
      <c r="H19" s="5"/>
      <c r="I19" s="5" t="n">
        <v>25</v>
      </c>
      <c r="J19" s="5" t="n">
        <v>20</v>
      </c>
      <c r="K19" s="5" t="n">
        <v>15</v>
      </c>
      <c r="L19" s="5" t="n">
        <v>20</v>
      </c>
      <c r="M19" s="5" t="n">
        <v>20</v>
      </c>
      <c r="N19" s="5"/>
      <c r="O19" s="5" t="n">
        <v>25</v>
      </c>
      <c r="P19" s="5" t="n">
        <v>20</v>
      </c>
      <c r="Q19" s="5" t="n">
        <v>15</v>
      </c>
      <c r="R19" s="5" t="n">
        <v>20</v>
      </c>
      <c r="S19" s="5" t="n">
        <v>20</v>
      </c>
      <c r="T19" s="5"/>
      <c r="U19" s="5" t="n">
        <v>25</v>
      </c>
      <c r="V19" s="5" t="n">
        <v>20</v>
      </c>
      <c r="W19" s="5" t="n">
        <v>15</v>
      </c>
      <c r="X19" s="5" t="n">
        <v>25</v>
      </c>
      <c r="Y19" s="5" t="n">
        <v>15</v>
      </c>
      <c r="Z19" s="5"/>
      <c r="AA19" s="5" t="n">
        <v>25</v>
      </c>
      <c r="AB19" s="5" t="n">
        <v>25</v>
      </c>
      <c r="AC19" s="5" t="n">
        <v>15</v>
      </c>
      <c r="AD19" s="5" t="n">
        <v>20</v>
      </c>
      <c r="AE19" s="5" t="n">
        <v>15</v>
      </c>
      <c r="AF19" s="5"/>
      <c r="AG19" s="5" t="n">
        <v>25</v>
      </c>
      <c r="AH19" s="5" t="n">
        <v>20</v>
      </c>
      <c r="AI19" s="5" t="n">
        <v>15</v>
      </c>
      <c r="AJ19" s="5" t="n">
        <v>25</v>
      </c>
      <c r="AK19" s="5" t="n">
        <v>15</v>
      </c>
      <c r="AL19" s="5"/>
      <c r="AM19" s="5" t="n">
        <v>25</v>
      </c>
      <c r="AN19" s="5" t="n">
        <v>20</v>
      </c>
      <c r="AO19" s="5" t="n">
        <v>15</v>
      </c>
      <c r="AP19" s="5" t="n">
        <v>25</v>
      </c>
      <c r="AQ19" s="5" t="n">
        <v>15</v>
      </c>
      <c r="AR19" s="5"/>
      <c r="AS19" s="5" t="n">
        <v>25</v>
      </c>
      <c r="AT19" s="5" t="n">
        <v>20</v>
      </c>
      <c r="AU19" s="5" t="n">
        <v>15</v>
      </c>
      <c r="AV19" s="5" t="n">
        <v>20</v>
      </c>
      <c r="AW19" s="5" t="n">
        <v>20</v>
      </c>
      <c r="AX19" s="5"/>
      <c r="AY19" s="5" t="n">
        <v>25</v>
      </c>
      <c r="AZ19" s="5" t="n">
        <v>20</v>
      </c>
      <c r="BA19" s="5" t="n">
        <v>15</v>
      </c>
      <c r="BB19" s="5" t="n">
        <v>20</v>
      </c>
      <c r="BC19" s="5" t="n">
        <v>20</v>
      </c>
      <c r="BD19" s="5"/>
      <c r="BE19" s="5" t="n">
        <v>25</v>
      </c>
      <c r="BF19" s="5" t="n">
        <v>20</v>
      </c>
      <c r="BG19" s="5" t="n">
        <v>15</v>
      </c>
      <c r="BH19" s="5" t="n">
        <v>20</v>
      </c>
      <c r="BI19" s="5" t="n">
        <v>20</v>
      </c>
      <c r="BK19" s="5" t="n">
        <f aca="false">AVERAGE(C19,I19,O19,U19,AA19,AG19,AM19,AS19,AY19,BE19)</f>
        <v>25</v>
      </c>
      <c r="BL19" s="5" t="n">
        <f aca="false">AVERAGE(D19,J19,P19,V19,AB19,AH19,AN19,AT19,AZ19,BF19)</f>
        <v>21</v>
      </c>
      <c r="BM19" s="5" t="n">
        <f aca="false">AVERAGE(,E19,K19,Q19,W19,AC19,AI19,AO19,AU19,BA19,BG19)</f>
        <v>13.6363636363636</v>
      </c>
      <c r="BN19" s="5" t="n">
        <f aca="false">AVERAGE(F19,L19,R19,X19,AD19,AJ19,AP19,AV19,BB19,BH19)</f>
        <v>21.5</v>
      </c>
      <c r="BO19" s="5" t="n">
        <f aca="false">AVERAGE(G19,M19,S19,Y19,AE19,AK19,AQ19,AW19,BC19,BI19)</f>
        <v>17.5</v>
      </c>
      <c r="BQ19" s="5" t="n">
        <f aca="false">_xlfn.STDEV.P(C19,I19,O19,U19,AA19,AG19,AM19,AS19,AY19,BE19)</f>
        <v>0</v>
      </c>
      <c r="BR19" s="5" t="n">
        <f aca="false">_xlfn.STDEV.P(D19,J19,P19,V19,AB19,AH19,AN19,AT19,AZ19,BF19)</f>
        <v>2</v>
      </c>
      <c r="BS19" s="5" t="n">
        <f aca="false">_xlfn.STDEV.P(,E19,K19,Q19,W19,AC19,AI19,AO19,AU19,BA19,BG19)</f>
        <v>4.31219680932052</v>
      </c>
      <c r="BT19" s="5" t="n">
        <f aca="false">_xlfn.STDEV.P(F19,L19,R19,X19,AD19,AJ19,AP19,AV19,BB19,BH19)</f>
        <v>2.29128784747792</v>
      </c>
      <c r="BU19" s="5" t="n">
        <f aca="false">_xlfn.STDEV.P(G19,M19,S19,Y19,AE19,AK19,AQ19,AW19,BC19,BI19)</f>
        <v>2.5</v>
      </c>
    </row>
    <row r="20" customFormat="false" ht="12.8" hidden="false" customHeight="false" outlineLevel="0" collapsed="false">
      <c r="A20" s="1" t="n">
        <v>0</v>
      </c>
      <c r="B20" s="4" t="s">
        <v>36</v>
      </c>
      <c r="C20" s="5" t="n">
        <v>25</v>
      </c>
      <c r="D20" s="5" t="n">
        <v>25</v>
      </c>
      <c r="E20" s="5" t="n">
        <v>20</v>
      </c>
      <c r="F20" s="5" t="n">
        <v>15</v>
      </c>
      <c r="G20" s="5" t="n">
        <v>15</v>
      </c>
      <c r="H20" s="5"/>
      <c r="I20" s="5" t="n">
        <v>25</v>
      </c>
      <c r="J20" s="5" t="n">
        <v>30</v>
      </c>
      <c r="K20" s="5" t="n">
        <v>10</v>
      </c>
      <c r="L20" s="5" t="n">
        <v>20</v>
      </c>
      <c r="M20" s="5" t="n">
        <v>15</v>
      </c>
      <c r="N20" s="5"/>
      <c r="O20" s="5" t="n">
        <v>25</v>
      </c>
      <c r="P20" s="5" t="n">
        <v>30</v>
      </c>
      <c r="Q20" s="5" t="n">
        <v>15</v>
      </c>
      <c r="R20" s="5" t="n">
        <v>20</v>
      </c>
      <c r="S20" s="5" t="n">
        <v>10</v>
      </c>
      <c r="T20" s="5"/>
      <c r="U20" s="5" t="n">
        <v>30</v>
      </c>
      <c r="V20" s="5" t="n">
        <v>25</v>
      </c>
      <c r="W20" s="5" t="n">
        <v>15</v>
      </c>
      <c r="X20" s="5" t="n">
        <v>20</v>
      </c>
      <c r="Y20" s="5" t="n">
        <v>10</v>
      </c>
      <c r="Z20" s="5"/>
      <c r="AA20" s="5" t="n">
        <v>25</v>
      </c>
      <c r="AB20" s="5" t="n">
        <v>30</v>
      </c>
      <c r="AC20" s="5" t="n">
        <v>15</v>
      </c>
      <c r="AD20" s="5" t="n">
        <v>20</v>
      </c>
      <c r="AE20" s="5" t="n">
        <v>10</v>
      </c>
      <c r="AF20" s="5"/>
      <c r="AG20" s="5" t="n">
        <v>25</v>
      </c>
      <c r="AH20" s="5" t="n">
        <v>30</v>
      </c>
      <c r="AI20" s="5" t="n">
        <v>15</v>
      </c>
      <c r="AJ20" s="5" t="n">
        <v>20</v>
      </c>
      <c r="AK20" s="5" t="n">
        <v>10</v>
      </c>
      <c r="AL20" s="5"/>
      <c r="AM20" s="5" t="n">
        <v>25</v>
      </c>
      <c r="AN20" s="5" t="n">
        <v>30</v>
      </c>
      <c r="AO20" s="5" t="n">
        <v>15</v>
      </c>
      <c r="AP20" s="5" t="n">
        <v>20</v>
      </c>
      <c r="AQ20" s="5" t="n">
        <v>10</v>
      </c>
      <c r="AR20" s="5"/>
      <c r="AS20" s="5" t="n">
        <v>25</v>
      </c>
      <c r="AT20" s="5" t="n">
        <v>25</v>
      </c>
      <c r="AU20" s="5" t="n">
        <v>15</v>
      </c>
      <c r="AV20" s="5" t="n">
        <v>20</v>
      </c>
      <c r="AW20" s="5" t="n">
        <v>15</v>
      </c>
      <c r="AX20" s="5"/>
      <c r="AY20" s="5" t="n">
        <v>30</v>
      </c>
      <c r="AZ20" s="5" t="n">
        <v>25</v>
      </c>
      <c r="BA20" s="5" t="n">
        <v>15</v>
      </c>
      <c r="BB20" s="5" t="n">
        <v>20</v>
      </c>
      <c r="BC20" s="5" t="n">
        <v>10</v>
      </c>
      <c r="BD20" s="5"/>
      <c r="BE20" s="5" t="n">
        <v>25</v>
      </c>
      <c r="BF20" s="5" t="n">
        <v>25</v>
      </c>
      <c r="BG20" s="5" t="n">
        <v>15</v>
      </c>
      <c r="BH20" s="5" t="n">
        <v>20</v>
      </c>
      <c r="BI20" s="5" t="n">
        <v>15</v>
      </c>
      <c r="BK20" s="5" t="n">
        <f aca="false">AVERAGE(C20,I20,O20,U20,AA20,AG20,AM20,AS20,AY20,BE20)</f>
        <v>26</v>
      </c>
      <c r="BL20" s="5" t="n">
        <f aca="false">AVERAGE(D20,J20,P20,V20,AB20,AH20,AN20,AT20,AZ20,BF20)</f>
        <v>27.5</v>
      </c>
      <c r="BM20" s="5" t="n">
        <f aca="false">AVERAGE(,E20,K20,Q20,W20,AC20,AI20,AO20,AU20,BA20,BG20)</f>
        <v>13.6363636363636</v>
      </c>
      <c r="BN20" s="5" t="n">
        <f aca="false">AVERAGE(F20,L20,R20,X20,AD20,AJ20,AP20,AV20,BB20,BH20)</f>
        <v>19.5</v>
      </c>
      <c r="BO20" s="5" t="n">
        <f aca="false">AVERAGE(G20,M20,S20,Y20,AE20,AK20,AQ20,AW20,BC20,BI20)</f>
        <v>12</v>
      </c>
      <c r="BQ20" s="5" t="n">
        <f aca="false">_xlfn.STDEV.P(C20,I20,O20,U20,AA20,AG20,AM20,AS20,AY20,BE20)</f>
        <v>2</v>
      </c>
      <c r="BR20" s="5" t="n">
        <f aca="false">_xlfn.STDEV.P(D20,J20,P20,V20,AB20,AH20,AN20,AT20,AZ20,BF20)</f>
        <v>2.5</v>
      </c>
      <c r="BS20" s="5" t="n">
        <f aca="false">_xlfn.STDEV.P(,E20,K20,Q20,W20,AC20,AI20,AO20,AU20,BA20,BG20)</f>
        <v>4.81045692920835</v>
      </c>
      <c r="BT20" s="5" t="n">
        <f aca="false">_xlfn.STDEV.P(F20,L20,R20,X20,AD20,AJ20,AP20,AV20,BB20,BH20)</f>
        <v>1.5</v>
      </c>
      <c r="BU20" s="5" t="n">
        <f aca="false">_xlfn.STDEV.P(G20,M20,S20,Y20,AE20,AK20,AQ20,AW20,BC20,BI20)</f>
        <v>2.44948974278318</v>
      </c>
    </row>
    <row r="21" customFormat="false" ht="12.8" hidden="false" customHeight="false" outlineLevel="0" collapsed="false">
      <c r="A21" s="1" t="n">
        <v>0</v>
      </c>
      <c r="B21" s="4" t="s">
        <v>37</v>
      </c>
      <c r="C21" s="5" t="n">
        <v>25</v>
      </c>
      <c r="D21" s="5" t="n">
        <v>10</v>
      </c>
      <c r="E21" s="5" t="n">
        <v>10</v>
      </c>
      <c r="F21" s="5" t="n">
        <v>25</v>
      </c>
      <c r="G21" s="5" t="n">
        <v>30</v>
      </c>
      <c r="H21" s="5"/>
      <c r="I21" s="5" t="n">
        <v>25</v>
      </c>
      <c r="J21" s="5" t="n">
        <v>10</v>
      </c>
      <c r="K21" s="5" t="n">
        <v>10</v>
      </c>
      <c r="L21" s="5" t="n">
        <v>25</v>
      </c>
      <c r="M21" s="5" t="n">
        <v>30</v>
      </c>
      <c r="N21" s="5"/>
      <c r="O21" s="5" t="n">
        <v>20</v>
      </c>
      <c r="P21" s="5" t="n">
        <v>15</v>
      </c>
      <c r="Q21" s="5" t="n">
        <v>15</v>
      </c>
      <c r="R21" s="5" t="n">
        <v>20</v>
      </c>
      <c r="S21" s="5" t="n">
        <v>30</v>
      </c>
      <c r="T21" s="5"/>
      <c r="U21" s="5" t="n">
        <v>25</v>
      </c>
      <c r="V21" s="5" t="n">
        <v>15</v>
      </c>
      <c r="W21" s="5" t="n">
        <v>20</v>
      </c>
      <c r="X21" s="5" t="n">
        <v>20</v>
      </c>
      <c r="Y21" s="5" t="n">
        <v>20</v>
      </c>
      <c r="Z21" s="5"/>
      <c r="AA21" s="5" t="n">
        <v>25</v>
      </c>
      <c r="AB21" s="5" t="n">
        <v>15</v>
      </c>
      <c r="AC21" s="5" t="n">
        <v>20</v>
      </c>
      <c r="AD21" s="5" t="n">
        <v>15</v>
      </c>
      <c r="AE21" s="5" t="n">
        <v>25</v>
      </c>
      <c r="AF21" s="5"/>
      <c r="AG21" s="5" t="n">
        <v>25</v>
      </c>
      <c r="AH21" s="5" t="n">
        <v>15</v>
      </c>
      <c r="AI21" s="5" t="n">
        <v>20</v>
      </c>
      <c r="AJ21" s="5" t="n">
        <v>20</v>
      </c>
      <c r="AK21" s="5" t="n">
        <v>20</v>
      </c>
      <c r="AL21" s="5"/>
      <c r="AM21" s="5" t="n">
        <v>25</v>
      </c>
      <c r="AN21" s="5" t="n">
        <v>15</v>
      </c>
      <c r="AO21" s="5" t="n">
        <v>5</v>
      </c>
      <c r="AP21" s="5" t="n">
        <v>25</v>
      </c>
      <c r="AQ21" s="5" t="n">
        <v>30</v>
      </c>
      <c r="AR21" s="5"/>
      <c r="AS21" s="5" t="n">
        <v>25</v>
      </c>
      <c r="AT21" s="5" t="n">
        <v>15</v>
      </c>
      <c r="AU21" s="5" t="n">
        <v>5</v>
      </c>
      <c r="AV21" s="5" t="n">
        <v>25</v>
      </c>
      <c r="AW21" s="5" t="n">
        <v>30</v>
      </c>
      <c r="AX21" s="5"/>
      <c r="AY21" s="5" t="n">
        <v>25</v>
      </c>
      <c r="AZ21" s="5" t="n">
        <v>5</v>
      </c>
      <c r="BA21" s="5" t="n">
        <v>15</v>
      </c>
      <c r="BB21" s="5" t="n">
        <v>25</v>
      </c>
      <c r="BC21" s="5" t="n">
        <v>30</v>
      </c>
      <c r="BD21" s="5"/>
      <c r="BE21" s="5" t="n">
        <v>25</v>
      </c>
      <c r="BF21" s="5" t="n">
        <v>15</v>
      </c>
      <c r="BG21" s="5" t="n">
        <v>20</v>
      </c>
      <c r="BH21" s="5" t="n">
        <v>20</v>
      </c>
      <c r="BI21" s="5" t="n">
        <v>20</v>
      </c>
      <c r="BK21" s="5" t="n">
        <f aca="false">AVERAGE(C21,I21,O21,U21,AA21,AG21,AM21,AS21,AY21,BE21)</f>
        <v>24.5</v>
      </c>
      <c r="BL21" s="5" t="n">
        <f aca="false">AVERAGE(D21,J21,P21,V21,AB21,AH21,AN21,AT21,AZ21,BF21)</f>
        <v>13</v>
      </c>
      <c r="BM21" s="5" t="n">
        <f aca="false">AVERAGE(,E21,K21,Q21,W21,AC21,AI21,AO21,AU21,BA21,BG21)</f>
        <v>12.7272727272727</v>
      </c>
      <c r="BN21" s="5" t="n">
        <f aca="false">AVERAGE(F21,L21,R21,X21,AD21,AJ21,AP21,AV21,BB21,BH21)</f>
        <v>22</v>
      </c>
      <c r="BO21" s="5" t="n">
        <f aca="false">AVERAGE(G21,M21,S21,Y21,AE21,AK21,AQ21,AW21,BC21,BI21)</f>
        <v>26.5</v>
      </c>
      <c r="BQ21" s="5" t="n">
        <f aca="false">_xlfn.STDEV.P(C21,I21,O21,U21,AA21,AG21,AM21,AS21,AY21,BE21)</f>
        <v>1.5</v>
      </c>
      <c r="BR21" s="5" t="n">
        <f aca="false">_xlfn.STDEV.P(D21,J21,P21,V21,AB21,AH21,AN21,AT21,AZ21,BF21)</f>
        <v>3.3166247903554</v>
      </c>
      <c r="BS21" s="5" t="n">
        <f aca="false">_xlfn.STDEV.P(,E21,K21,Q21,W21,AC21,AI21,AO21,AU21,BA21,BG21)</f>
        <v>6.86348585024614</v>
      </c>
      <c r="BT21" s="5" t="n">
        <f aca="false">_xlfn.STDEV.P(F21,L21,R21,X21,AD21,AJ21,AP21,AV21,BB21,BH21)</f>
        <v>3.3166247903554</v>
      </c>
      <c r="BU21" s="5" t="n">
        <f aca="false">_xlfn.STDEV.P(G21,M21,S21,Y21,AE21,AK21,AQ21,AW21,BC21,BI21)</f>
        <v>4.5</v>
      </c>
    </row>
    <row r="22" customFormat="false" ht="12.8" hidden="false" customHeight="false" outlineLevel="0" collapsed="false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K22" s="5"/>
      <c r="BL22" s="5"/>
      <c r="BM22" s="5"/>
      <c r="BN22" s="5"/>
      <c r="BO22" s="5"/>
      <c r="BQ22" s="5"/>
      <c r="BR22" s="5"/>
      <c r="BS22" s="5"/>
      <c r="BT22" s="5"/>
      <c r="BU22" s="5"/>
    </row>
    <row r="23" customFormat="false" ht="12.8" hidden="false" customHeight="false" outlineLevel="0" collapsed="false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K23" s="5"/>
      <c r="BL23" s="5"/>
      <c r="BM23" s="5"/>
      <c r="BN23" s="5"/>
      <c r="BO23" s="5"/>
      <c r="BQ23" s="5"/>
      <c r="BR23" s="5"/>
      <c r="BS23" s="5"/>
      <c r="BT23" s="5"/>
      <c r="BU23" s="5"/>
    </row>
    <row r="24" customFormat="false" ht="12.8" hidden="false" customHeight="false" outlineLevel="0" collapsed="false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K24" s="5"/>
      <c r="BL24" s="5"/>
      <c r="BM24" s="5"/>
      <c r="BN24" s="5"/>
      <c r="BO24" s="5"/>
      <c r="BQ24" s="5"/>
      <c r="BR24" s="5"/>
      <c r="BS24" s="5"/>
      <c r="BT24" s="5"/>
      <c r="BU24" s="5"/>
    </row>
    <row r="25" customFormat="false" ht="12.8" hidden="false" customHeight="false" outlineLevel="0" collapsed="false">
      <c r="A25" s="7" t="s">
        <v>38</v>
      </c>
      <c r="B25" s="8" t="s">
        <v>53</v>
      </c>
      <c r="C25" s="9" t="n">
        <f aca="false">AVERAGE(C2:C21,I2:I21,O2:O21,U2:U21,AA2:AA21,AG2:AG21,AM2:AM21,AS2:AS21,AY2:AY21,BE2:BE21)</f>
        <v>19.7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K25" s="5"/>
      <c r="BL25" s="5"/>
      <c r="BM25" s="5"/>
      <c r="BN25" s="5"/>
      <c r="BO25" s="5"/>
      <c r="BQ25" s="5"/>
      <c r="BR25" s="5"/>
      <c r="BS25" s="5"/>
      <c r="BT25" s="5"/>
      <c r="BU25" s="5"/>
    </row>
    <row r="26" customFormat="false" ht="12.8" hidden="false" customHeight="false" outlineLevel="0" collapsed="false">
      <c r="A26" s="7" t="s">
        <v>39</v>
      </c>
      <c r="B26" s="8" t="s">
        <v>54</v>
      </c>
      <c r="C26" s="9" t="n">
        <f aca="false">AVERAGE(D2:D21,J2:J21,P2:P21,V2:V21,AB2:AB21,AH2:AH21,AN2:AN21,AT2:AT21,AZ2:AZ21,BF2:BF21)</f>
        <v>23.075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K26" s="5"/>
      <c r="BL26" s="5"/>
      <c r="BM26" s="5"/>
      <c r="BN26" s="5"/>
      <c r="BO26" s="5"/>
      <c r="BQ26" s="5"/>
      <c r="BR26" s="5"/>
      <c r="BS26" s="5"/>
      <c r="BT26" s="5"/>
      <c r="BU26" s="5"/>
    </row>
    <row r="27" customFormat="false" ht="12.8" hidden="false" customHeight="false" outlineLevel="0" collapsed="false">
      <c r="A27" s="7" t="s">
        <v>40</v>
      </c>
      <c r="B27" s="8" t="s">
        <v>55</v>
      </c>
      <c r="C27" s="9" t="n">
        <f aca="false">AVERAGE(E2:E21,K2:K21,Q2:Q21,W2:W21,AC2:AC21,AI2:AI21,AO2:AO21,AU2:AU21,BA2:BA21,BG2:BG21)</f>
        <v>15.3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K27" s="5"/>
      <c r="BL27" s="5"/>
      <c r="BM27" s="5"/>
      <c r="BN27" s="5"/>
      <c r="BO27" s="5"/>
      <c r="BQ27" s="5"/>
      <c r="BR27" s="5"/>
      <c r="BS27" s="5"/>
      <c r="BT27" s="5"/>
      <c r="BU27" s="5"/>
    </row>
    <row r="28" customFormat="false" ht="12.8" hidden="false" customHeight="false" outlineLevel="0" collapsed="false">
      <c r="A28" s="7" t="s">
        <v>41</v>
      </c>
      <c r="B28" s="8" t="s">
        <v>56</v>
      </c>
      <c r="C28" s="9" t="n">
        <f aca="false">AVERAGE(F2:F21,L2:L21,R2:R21,X2:X21,AD2:AD21,AJ2:AJ21,AP2:AP21,AV2:AV21,BB2:BB21,BH2:BH21)</f>
        <v>19.525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K28" s="5"/>
      <c r="BL28" s="5"/>
      <c r="BM28" s="5"/>
      <c r="BN28" s="5"/>
      <c r="BO28" s="5"/>
      <c r="BQ28" s="5"/>
      <c r="BR28" s="5"/>
      <c r="BS28" s="5"/>
      <c r="BT28" s="5"/>
      <c r="BU28" s="5"/>
    </row>
    <row r="29" customFormat="false" ht="12.8" hidden="false" customHeight="false" outlineLevel="0" collapsed="false">
      <c r="A29" s="7" t="s">
        <v>42</v>
      </c>
      <c r="B29" s="8" t="s">
        <v>57</v>
      </c>
      <c r="C29" s="9" t="n">
        <f aca="false">AVERAGE(G2:G21,M2:M21,S2:S21,Y2:Y21,AE2:AE21,AK2:AK21,AQ2:AQ21,AW2:AW21,BC2:BC21,BI2:BI21)</f>
        <v>22.4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K29" s="5"/>
      <c r="BL29" s="5"/>
      <c r="BM29" s="5"/>
      <c r="BN29" s="5"/>
      <c r="BO29" s="5"/>
      <c r="BQ29" s="5"/>
      <c r="BR29" s="5"/>
      <c r="BS29" s="5"/>
      <c r="BT29" s="5"/>
      <c r="BU29" s="5"/>
    </row>
    <row r="30" customFormat="false" ht="12.8" hidden="false" customHeight="false" outlineLevel="0" collapsed="false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K30" s="5"/>
      <c r="BL30" s="5"/>
      <c r="BM30" s="5"/>
      <c r="BN30" s="5"/>
      <c r="BO30" s="5"/>
      <c r="BQ30" s="5"/>
      <c r="BR30" s="5"/>
      <c r="BS30" s="5"/>
      <c r="BT30" s="5"/>
      <c r="BU30" s="5"/>
    </row>
    <row r="31" customFormat="false" ht="12.8" hidden="false" customHeight="false" outlineLevel="0" collapsed="false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K31" s="5"/>
      <c r="BL31" s="5"/>
      <c r="BM31" s="5"/>
      <c r="BN31" s="5"/>
      <c r="BO31" s="5"/>
      <c r="BQ31" s="5"/>
      <c r="BR31" s="5"/>
      <c r="BS31" s="5"/>
      <c r="BT31" s="5"/>
      <c r="BU31" s="5"/>
    </row>
    <row r="32" customFormat="false" ht="12.8" hidden="false" customHeight="false" outlineLevel="0" collapsed="false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K32" s="5"/>
      <c r="BL32" s="5"/>
      <c r="BM32" s="5"/>
      <c r="BN32" s="5"/>
      <c r="BO32" s="5"/>
      <c r="BQ32" s="5"/>
      <c r="BR32" s="5"/>
      <c r="BS32" s="5"/>
      <c r="BT32" s="5"/>
      <c r="BU32" s="5"/>
    </row>
    <row r="33" customFormat="false" ht="12.8" hidden="false" customHeight="false" outlineLevel="0" collapsed="false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K33" s="5"/>
      <c r="BL33" s="5"/>
      <c r="BM33" s="5"/>
      <c r="BN33" s="5"/>
      <c r="BO33" s="5"/>
      <c r="BQ33" s="5"/>
      <c r="BR33" s="5"/>
      <c r="BS33" s="5"/>
      <c r="BT33" s="5"/>
      <c r="BU33" s="5"/>
    </row>
    <row r="34" customFormat="false" ht="12.8" hidden="false" customHeight="false" outlineLevel="0" collapsed="false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K34" s="5"/>
      <c r="BL34" s="5"/>
      <c r="BM34" s="5"/>
      <c r="BN34" s="5"/>
      <c r="BO34" s="5"/>
      <c r="BQ34" s="5"/>
      <c r="BR34" s="5"/>
      <c r="BS34" s="5"/>
      <c r="BT34" s="5"/>
      <c r="BU34" s="5"/>
    </row>
    <row r="35" customFormat="false" ht="12.8" hidden="false" customHeight="false" outlineLevel="0" collapsed="false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K35" s="5"/>
      <c r="BL35" s="5"/>
      <c r="BM35" s="5"/>
      <c r="BN35" s="5"/>
      <c r="BO35" s="5"/>
      <c r="BQ35" s="5"/>
      <c r="BR35" s="5"/>
      <c r="BS35" s="5"/>
      <c r="BT35" s="5"/>
      <c r="BU35" s="5"/>
    </row>
    <row r="36" customFormat="false" ht="12.8" hidden="false" customHeight="false" outlineLevel="0" collapsed="false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K36" s="5"/>
      <c r="BL36" s="5"/>
      <c r="BM36" s="5"/>
      <c r="BN36" s="5"/>
      <c r="BO36" s="5"/>
      <c r="BQ36" s="5"/>
      <c r="BR36" s="5"/>
      <c r="BS36" s="5"/>
      <c r="BT36" s="5"/>
      <c r="BU36" s="5"/>
    </row>
    <row r="37" customFormat="false" ht="12.8" hidden="false" customHeight="false" outlineLevel="0" collapsed="false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K37" s="5"/>
      <c r="BL37" s="5"/>
      <c r="BM37" s="5"/>
      <c r="BN37" s="5"/>
      <c r="BO37" s="5"/>
      <c r="BQ37" s="5"/>
      <c r="BR37" s="5"/>
      <c r="BS37" s="5"/>
      <c r="BT37" s="5"/>
      <c r="BU37" s="5"/>
    </row>
    <row r="38" customFormat="false" ht="12.8" hidden="false" customHeight="false" outlineLevel="0" collapsed="false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K38" s="5"/>
      <c r="BL38" s="5"/>
      <c r="BM38" s="5"/>
      <c r="BN38" s="5"/>
      <c r="BO38" s="5"/>
      <c r="BQ38" s="5"/>
      <c r="BR38" s="5"/>
      <c r="BS38" s="5"/>
      <c r="BT38" s="5"/>
      <c r="BU38" s="5"/>
    </row>
    <row r="39" customFormat="false" ht="12.8" hidden="false" customHeight="false" outlineLevel="0" collapsed="false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K39" s="5"/>
      <c r="BL39" s="5"/>
      <c r="BM39" s="5"/>
      <c r="BN39" s="5"/>
      <c r="BO39" s="5"/>
      <c r="BQ39" s="5"/>
      <c r="BR39" s="5"/>
      <c r="BS39" s="5"/>
      <c r="BT39" s="5"/>
      <c r="BU39" s="5"/>
    </row>
    <row r="40" customFormat="false" ht="12.8" hidden="false" customHeight="false" outlineLevel="0" collapsed="false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K40" s="5"/>
      <c r="BL40" s="5"/>
      <c r="BM40" s="5"/>
      <c r="BN40" s="5"/>
      <c r="BO40" s="5"/>
      <c r="BQ40" s="5"/>
      <c r="BR40" s="5"/>
      <c r="BS40" s="5"/>
      <c r="BT40" s="5"/>
      <c r="BU40" s="5"/>
    </row>
    <row r="41" customFormat="false" ht="12.8" hidden="false" customHeight="false" outlineLevel="0" collapsed="false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K41" s="5"/>
      <c r="BL41" s="5"/>
      <c r="BM41" s="5"/>
      <c r="BN41" s="5"/>
      <c r="BO41" s="5"/>
      <c r="BQ41" s="5"/>
      <c r="BR41" s="5"/>
      <c r="BS41" s="5"/>
      <c r="BT41" s="5"/>
      <c r="BU41" s="5"/>
    </row>
    <row r="42" customFormat="false" ht="12.8" hidden="false" customHeight="false" outlineLevel="0" collapsed="false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K42" s="5"/>
      <c r="BL42" s="5"/>
      <c r="BM42" s="5"/>
      <c r="BN42" s="5"/>
      <c r="BO42" s="5"/>
      <c r="BQ42" s="5"/>
      <c r="BR42" s="5"/>
      <c r="BS42" s="5"/>
      <c r="BT42" s="5"/>
      <c r="BU42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Footer>&amp;CPage &amp;P</oddFooter>
    <oddHeader>&amp;C&amp;A</oddHeader>
  </headerFooter>
  <legacyDrawing r:id="rId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